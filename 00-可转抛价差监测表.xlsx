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月差" sheetId="1" r:id="rId1"/>
  </sheets>
  <definedNames>
    <definedName name="_xlnm._FilterDatabase" localSheetId="0" hidden="1">月差!$A$1:$I$23</definedName>
  </definedNames>
  <calcPr calcId="152511"/>
</workbook>
</file>

<file path=xl/calcChain.xml><?xml version="1.0" encoding="utf-8"?>
<calcChain xmlns="http://schemas.openxmlformats.org/spreadsheetml/2006/main">
  <c r="J93" i="1" l="1"/>
  <c r="H92" i="1"/>
  <c r="G88" i="1"/>
  <c r="H87" i="1"/>
  <c r="G87" i="1"/>
  <c r="J86" i="1"/>
  <c r="H86" i="1"/>
  <c r="H85" i="1"/>
  <c r="G85" i="1"/>
  <c r="H84" i="1"/>
  <c r="G84" i="1"/>
  <c r="J80" i="1"/>
  <c r="G76" i="1"/>
  <c r="B74" i="1" l="1"/>
  <c r="G8" i="1" l="1"/>
  <c r="P27" i="1"/>
  <c r="W45" i="1" l="1"/>
  <c r="W44" i="1"/>
  <c r="W43" i="1"/>
  <c r="W42" i="1"/>
  <c r="W41" i="1"/>
  <c r="Y39" i="1"/>
  <c r="C23" i="1"/>
  <c r="C22" i="1"/>
  <c r="C21" i="1"/>
  <c r="G21" i="1" s="1"/>
  <c r="C20" i="1"/>
  <c r="G20" i="1" s="1"/>
  <c r="C19" i="1"/>
  <c r="G19" i="1" s="1"/>
  <c r="C18" i="1"/>
  <c r="G18" i="1" s="1"/>
  <c r="C17" i="1"/>
  <c r="G17" i="1" s="1"/>
  <c r="C16" i="1"/>
  <c r="G16" i="1" s="1"/>
  <c r="C15" i="1"/>
  <c r="G15" i="1" s="1"/>
  <c r="C14" i="1"/>
  <c r="G14" i="1" s="1"/>
  <c r="C13" i="1"/>
  <c r="G13" i="1" s="1"/>
  <c r="C12" i="1"/>
  <c r="G12" i="1" s="1"/>
  <c r="C11" i="1"/>
  <c r="G11" i="1" s="1"/>
  <c r="C10" i="1"/>
  <c r="G10" i="1" s="1"/>
  <c r="C9" i="1"/>
  <c r="G9" i="1" s="1"/>
  <c r="C7" i="1"/>
  <c r="G7" i="1" s="1"/>
  <c r="C6" i="1"/>
  <c r="G6" i="1" s="1"/>
  <c r="C5" i="1"/>
  <c r="G5" i="1" s="1"/>
  <c r="C4" i="1"/>
  <c r="G4" i="1" s="1"/>
  <c r="C3" i="1"/>
  <c r="G3" i="1" s="1"/>
  <c r="C2" i="1"/>
  <c r="G2" i="1" s="1"/>
  <c r="G22" i="1" l="1"/>
  <c r="G23" i="1"/>
  <c r="P36" i="1"/>
  <c r="P37" i="1"/>
  <c r="V39" i="1" l="1"/>
  <c r="Y41" i="1"/>
  <c r="Z40" i="1"/>
  <c r="W46" i="1"/>
  <c r="W40" i="1"/>
  <c r="Q47" i="1"/>
  <c r="Q46" i="1"/>
  <c r="Q45" i="1"/>
  <c r="Q40" i="1"/>
  <c r="O47" i="1"/>
  <c r="O46" i="1"/>
  <c r="O45" i="1"/>
  <c r="O40" i="1"/>
  <c r="X37" i="1"/>
  <c r="V37" i="1"/>
  <c r="X40" i="1"/>
  <c r="X39" i="1"/>
  <c r="V40" i="1"/>
  <c r="U41" i="1"/>
  <c r="O42" i="1"/>
  <c r="O43" i="1"/>
  <c r="O44" i="1"/>
  <c r="O41" i="1"/>
  <c r="O27" i="1"/>
  <c r="Q41" i="1"/>
  <c r="Y43" i="1"/>
  <c r="Y44" i="1"/>
  <c r="Y42" i="1"/>
  <c r="X26" i="1"/>
  <c r="Y36" i="1"/>
  <c r="X36" i="1"/>
  <c r="X35" i="1"/>
  <c r="W34" i="1"/>
  <c r="W35" i="1"/>
  <c r="W36" i="1"/>
  <c r="W38" i="1"/>
  <c r="W26" i="1"/>
  <c r="W27" i="1"/>
  <c r="W39" i="1"/>
  <c r="W33" i="1"/>
  <c r="V33" i="1"/>
  <c r="V34" i="1"/>
  <c r="V35" i="1"/>
  <c r="V36" i="1"/>
  <c r="V38" i="1"/>
  <c r="V26" i="1"/>
  <c r="V27" i="1"/>
  <c r="Z37" i="1"/>
  <c r="V32" i="1"/>
  <c r="U46" i="1"/>
  <c r="U47" i="1"/>
  <c r="U45" i="1"/>
  <c r="U43" i="1"/>
  <c r="U44" i="1"/>
  <c r="U42" i="1"/>
  <c r="U36" i="1"/>
  <c r="U38" i="1"/>
  <c r="U26" i="1"/>
  <c r="U27" i="1"/>
  <c r="U39" i="1"/>
  <c r="U40" i="1"/>
  <c r="U33" i="1"/>
  <c r="U34" i="1"/>
  <c r="U35" i="1"/>
  <c r="U32" i="1"/>
  <c r="T39" i="1"/>
  <c r="T40" i="1"/>
  <c r="T27" i="1"/>
  <c r="T34" i="1"/>
  <c r="T35" i="1"/>
  <c r="T36" i="1"/>
  <c r="T38" i="1"/>
  <c r="T26" i="1"/>
  <c r="T33" i="1"/>
  <c r="T37" i="1"/>
  <c r="S46" i="1"/>
  <c r="S47" i="1"/>
  <c r="S45" i="1"/>
  <c r="S40" i="1"/>
  <c r="S42" i="1"/>
  <c r="S43" i="1"/>
  <c r="S44" i="1"/>
  <c r="S41" i="1"/>
  <c r="S35" i="1"/>
  <c r="S36" i="1"/>
  <c r="S38" i="1"/>
  <c r="S26" i="1"/>
  <c r="S27" i="1"/>
  <c r="S39" i="1"/>
  <c r="S33" i="1"/>
  <c r="S34" i="1"/>
  <c r="S32" i="1"/>
  <c r="R34" i="1"/>
  <c r="R35" i="1"/>
  <c r="R36" i="1"/>
  <c r="R38" i="1"/>
  <c r="R26" i="1"/>
  <c r="R27" i="1"/>
  <c r="R39" i="1"/>
  <c r="R40" i="1"/>
  <c r="R33" i="1"/>
  <c r="R37" i="1"/>
  <c r="Q42" i="1"/>
  <c r="Q43" i="1"/>
  <c r="Q44" i="1"/>
  <c r="Q33" i="1"/>
  <c r="P32" i="1"/>
  <c r="P34" i="1"/>
  <c r="P35" i="1"/>
  <c r="P26" i="1"/>
  <c r="P39" i="1"/>
  <c r="P40" i="1"/>
  <c r="P33" i="1"/>
  <c r="Q34" i="1"/>
  <c r="Q35" i="1"/>
  <c r="Q36" i="1"/>
  <c r="Q38" i="1"/>
  <c r="Q26" i="1"/>
  <c r="Q27" i="1"/>
  <c r="Q39" i="1"/>
  <c r="O33" i="1"/>
  <c r="O34" i="1"/>
  <c r="O35" i="1"/>
  <c r="O36" i="1"/>
  <c r="O26" i="1"/>
  <c r="O39" i="1"/>
  <c r="Z39" i="1"/>
  <c r="Z33" i="1"/>
  <c r="Z34" i="1"/>
  <c r="Z35" i="1"/>
  <c r="Z36" i="1"/>
  <c r="Z26" i="1"/>
  <c r="Z27" i="1"/>
  <c r="Y40" i="1"/>
  <c r="Y32" i="1"/>
  <c r="Y33" i="1"/>
  <c r="Y34" i="1"/>
  <c r="Y35" i="1"/>
  <c r="Y26" i="1"/>
  <c r="Y27" i="1"/>
  <c r="X33" i="1"/>
  <c r="X34" i="1"/>
  <c r="X38" i="1"/>
  <c r="X27" i="1"/>
  <c r="O32" i="1"/>
  <c r="O29" i="1"/>
  <c r="P29" i="1"/>
  <c r="Q29" i="1"/>
  <c r="R29" i="1"/>
  <c r="S29" i="1"/>
  <c r="T29" i="1"/>
  <c r="U29" i="1"/>
  <c r="V29" i="1"/>
  <c r="W29" i="1"/>
  <c r="X29" i="1"/>
  <c r="Y29" i="1"/>
  <c r="Z29" i="1"/>
  <c r="O30" i="1"/>
  <c r="P30" i="1"/>
  <c r="Q30" i="1"/>
  <c r="R30" i="1"/>
  <c r="S30" i="1"/>
  <c r="T30" i="1"/>
  <c r="U30" i="1"/>
  <c r="V30" i="1"/>
  <c r="W30" i="1"/>
  <c r="X30" i="1"/>
  <c r="Y30" i="1"/>
  <c r="Z30" i="1"/>
  <c r="O31" i="1"/>
  <c r="P31" i="1"/>
  <c r="Q31" i="1"/>
  <c r="R31" i="1"/>
  <c r="S31" i="1"/>
  <c r="T31" i="1"/>
  <c r="U31" i="1"/>
  <c r="V31" i="1"/>
  <c r="W31" i="1"/>
  <c r="X31" i="1"/>
  <c r="Y31" i="1"/>
  <c r="Z31" i="1"/>
  <c r="Q32" i="1"/>
  <c r="R32" i="1"/>
  <c r="T32" i="1"/>
  <c r="W32" i="1"/>
  <c r="X32" i="1"/>
  <c r="Z32" i="1"/>
  <c r="Z28" i="1"/>
  <c r="Y28" i="1"/>
  <c r="P28" i="1"/>
  <c r="Q28" i="1"/>
  <c r="R28" i="1"/>
  <c r="S28" i="1"/>
  <c r="T28" i="1"/>
  <c r="U28" i="1"/>
  <c r="V28" i="1"/>
  <c r="W28" i="1"/>
  <c r="X28" i="1"/>
  <c r="O28" i="1"/>
  <c r="C40" i="1"/>
  <c r="F41" i="1"/>
  <c r="G44" i="1"/>
  <c r="D34" i="1"/>
  <c r="C33" i="1"/>
  <c r="J46" i="1"/>
  <c r="C38" i="1"/>
  <c r="C39" i="1"/>
  <c r="D29" i="1"/>
  <c r="B38" i="1"/>
  <c r="D31" i="1"/>
  <c r="J41" i="1"/>
  <c r="B44" i="1"/>
  <c r="C30" i="1"/>
  <c r="F26" i="1"/>
  <c r="E44" i="1"/>
  <c r="K43" i="1"/>
  <c r="G30" i="1"/>
  <c r="E34" i="1"/>
  <c r="F27" i="1"/>
  <c r="M35" i="1"/>
  <c r="G38" i="1"/>
  <c r="M32" i="1"/>
  <c r="C47" i="1"/>
  <c r="G40" i="1"/>
  <c r="K33" i="1"/>
  <c r="J31" i="1"/>
  <c r="F34" i="1"/>
  <c r="L43" i="1"/>
  <c r="D41" i="1"/>
  <c r="B33" i="1"/>
  <c r="H46" i="1"/>
  <c r="C46" i="1"/>
  <c r="I39" i="1"/>
  <c r="C37" i="1"/>
  <c r="C35" i="1"/>
  <c r="L39" i="1"/>
  <c r="H34" i="1"/>
  <c r="G37" i="1"/>
  <c r="J36" i="1"/>
  <c r="M30" i="1"/>
  <c r="K36" i="1"/>
  <c r="E31" i="1"/>
  <c r="I26" i="1"/>
  <c r="F42" i="1"/>
  <c r="E45" i="1"/>
  <c r="M31" i="1"/>
  <c r="C43" i="1"/>
  <c r="K32" i="1"/>
  <c r="B36" i="1"/>
  <c r="F43" i="1"/>
  <c r="H43" i="1"/>
  <c r="G31" i="1"/>
  <c r="I36" i="1"/>
  <c r="C34" i="1"/>
  <c r="M34" i="1"/>
  <c r="K37" i="1"/>
  <c r="J26" i="1"/>
  <c r="M43" i="1"/>
  <c r="B45" i="1"/>
  <c r="F40" i="1"/>
  <c r="I32" i="1"/>
  <c r="E40" i="1"/>
  <c r="B34" i="1"/>
  <c r="D27" i="1"/>
  <c r="B43" i="1"/>
  <c r="G29" i="1"/>
  <c r="B27" i="1"/>
  <c r="D38" i="1"/>
  <c r="L29" i="1"/>
  <c r="J39" i="1"/>
  <c r="H42" i="1"/>
  <c r="I43" i="1"/>
  <c r="L44" i="1"/>
  <c r="D43" i="1"/>
  <c r="C31" i="1"/>
  <c r="M28" i="1"/>
  <c r="L36" i="1"/>
  <c r="H26" i="1"/>
  <c r="F47" i="1"/>
  <c r="D42" i="1"/>
  <c r="M46" i="1"/>
  <c r="B26" i="1"/>
  <c r="C32" i="1"/>
  <c r="F30" i="1"/>
  <c r="D32" i="1"/>
  <c r="K28" i="1"/>
  <c r="K31" i="1"/>
  <c r="G34" i="1"/>
  <c r="K39" i="1"/>
  <c r="B39" i="1"/>
  <c r="H30" i="1"/>
  <c r="E27" i="1"/>
  <c r="B37" i="1"/>
  <c r="D28" i="1"/>
  <c r="L47" i="1"/>
  <c r="K34" i="1"/>
  <c r="M42" i="1"/>
  <c r="F28" i="1"/>
  <c r="I34" i="1"/>
  <c r="D47" i="1"/>
  <c r="B46" i="1"/>
  <c r="L28" i="1"/>
  <c r="H44" i="1"/>
  <c r="C42" i="1"/>
  <c r="G32" i="1"/>
  <c r="G33" i="1"/>
  <c r="M29" i="1"/>
  <c r="B30" i="1"/>
  <c r="F32" i="1"/>
  <c r="M38" i="1"/>
  <c r="M36" i="1"/>
  <c r="L30" i="1"/>
  <c r="L31" i="1"/>
  <c r="K35" i="1"/>
  <c r="C26" i="1"/>
  <c r="H33" i="1"/>
  <c r="M44" i="1"/>
  <c r="K30" i="1"/>
  <c r="B32" i="1"/>
  <c r="J44" i="1"/>
  <c r="F29" i="1"/>
  <c r="M37" i="1"/>
  <c r="J28" i="1"/>
  <c r="J40" i="1"/>
  <c r="G27" i="1"/>
  <c r="D26" i="1"/>
  <c r="B31" i="1"/>
  <c r="E36" i="1"/>
  <c r="D44" i="1"/>
  <c r="B40" i="1"/>
  <c r="F37" i="1"/>
  <c r="C36" i="1"/>
  <c r="F44" i="1"/>
  <c r="D40" i="1"/>
  <c r="J33" i="1"/>
  <c r="L42" i="1"/>
  <c r="I29" i="1"/>
  <c r="L40" i="1"/>
  <c r="L32" i="1"/>
  <c r="L45" i="1"/>
  <c r="I47" i="1"/>
  <c r="I41" i="1"/>
  <c r="E29" i="1"/>
  <c r="E26" i="1"/>
  <c r="C27" i="1"/>
  <c r="H47" i="1"/>
  <c r="J47" i="1"/>
  <c r="L33" i="1"/>
  <c r="C45" i="1"/>
  <c r="H45" i="1"/>
  <c r="B35" i="1"/>
  <c r="I37" i="1"/>
  <c r="G42" i="1"/>
  <c r="F39" i="1"/>
  <c r="D35" i="1"/>
  <c r="E35" i="1"/>
  <c r="H35" i="1"/>
  <c r="L35" i="1"/>
  <c r="M41" i="1"/>
  <c r="K29" i="1"/>
  <c r="H28" i="1"/>
  <c r="M27" i="1"/>
  <c r="K38" i="1"/>
  <c r="B41" i="1"/>
  <c r="C29" i="1"/>
  <c r="E37" i="1"/>
  <c r="G28" i="1"/>
  <c r="H38" i="1"/>
  <c r="I38" i="1"/>
  <c r="E38" i="1"/>
  <c r="H36" i="1"/>
  <c r="G46" i="1"/>
  <c r="L38" i="1"/>
  <c r="H41" i="1"/>
  <c r="F33" i="1"/>
  <c r="H37" i="1"/>
  <c r="C28" i="1"/>
  <c r="B47" i="1"/>
  <c r="E43" i="1"/>
  <c r="B42" i="1"/>
  <c r="H40" i="1"/>
  <c r="H31" i="1"/>
  <c r="L37" i="1"/>
  <c r="K47" i="1"/>
  <c r="I35" i="1"/>
  <c r="M47" i="1"/>
  <c r="G47" i="1"/>
  <c r="J37" i="1"/>
  <c r="K42" i="1"/>
  <c r="E30" i="1"/>
  <c r="B28" i="1"/>
  <c r="G43" i="1"/>
  <c r="F35" i="1"/>
  <c r="E32" i="1"/>
  <c r="J34" i="1"/>
  <c r="D33" i="1"/>
  <c r="C41" i="1"/>
  <c r="K27" i="1"/>
  <c r="M45" i="1"/>
  <c r="I27" i="1"/>
  <c r="E47" i="1"/>
  <c r="H27" i="1"/>
  <c r="K44" i="1"/>
  <c r="M39" i="1"/>
  <c r="D39" i="1"/>
  <c r="L34" i="1"/>
  <c r="H32" i="1"/>
  <c r="G36" i="1"/>
  <c r="F36" i="1"/>
  <c r="J43" i="1"/>
  <c r="D45" i="1"/>
  <c r="C44" i="1"/>
  <c r="E33" i="1"/>
  <c r="I30" i="1"/>
  <c r="I40" i="1"/>
  <c r="B29" i="1"/>
  <c r="I44" i="1"/>
  <c r="M26" i="1"/>
  <c r="J38" i="1"/>
  <c r="I33" i="1"/>
  <c r="J30" i="1"/>
  <c r="I46" i="1"/>
  <c r="K40" i="1"/>
  <c r="J27" i="1"/>
  <c r="L27" i="1"/>
  <c r="K41" i="1"/>
  <c r="F31" i="1"/>
  <c r="J29" i="1"/>
  <c r="F45" i="1"/>
  <c r="G39" i="1"/>
  <c r="E41" i="1"/>
  <c r="E42" i="1"/>
  <c r="G26" i="1"/>
  <c r="L46" i="1"/>
  <c r="J32" i="1"/>
  <c r="J35" i="1"/>
  <c r="D36" i="1"/>
  <c r="J45" i="1"/>
  <c r="L41" i="1"/>
  <c r="G35" i="1"/>
  <c r="G45" i="1"/>
  <c r="K46" i="1"/>
  <c r="M40" i="1"/>
  <c r="H29" i="1"/>
  <c r="I31" i="1"/>
  <c r="H39" i="1"/>
  <c r="J42" i="1"/>
  <c r="D37" i="1"/>
  <c r="K26" i="1"/>
  <c r="F46" i="1"/>
  <c r="D30" i="1"/>
  <c r="G41" i="1"/>
  <c r="D46" i="1"/>
  <c r="E28" i="1"/>
  <c r="F38" i="1"/>
  <c r="E39" i="1"/>
  <c r="M33" i="1"/>
  <c r="K45" i="1"/>
  <c r="E46" i="1"/>
  <c r="I42" i="1"/>
  <c r="L26" i="1"/>
  <c r="I28" i="1"/>
  <c r="I45" i="1"/>
  <c r="O71" i="1" l="1"/>
  <c r="Q71" i="1"/>
  <c r="S71" i="1"/>
  <c r="U71" i="1"/>
  <c r="W70" i="1"/>
  <c r="U70" i="1"/>
  <c r="Y60" i="1"/>
  <c r="S69" i="1"/>
  <c r="Z60" i="1"/>
  <c r="X60" i="1"/>
  <c r="R58" i="1"/>
  <c r="V58" i="1"/>
  <c r="O68" i="1"/>
  <c r="S64" i="1"/>
  <c r="S59" i="1"/>
  <c r="Q60" i="1"/>
  <c r="Q65" i="1"/>
  <c r="U65" i="1"/>
  <c r="U68" i="1"/>
  <c r="Q66" i="1"/>
  <c r="Q64" i="1"/>
  <c r="U59" i="1"/>
  <c r="S63" i="1"/>
  <c r="U66" i="1"/>
  <c r="U63" i="1"/>
  <c r="R59" i="1"/>
  <c r="W58" i="1"/>
  <c r="R63" i="1"/>
  <c r="Z63" i="1"/>
  <c r="Q68" i="1"/>
  <c r="U58" i="1"/>
  <c r="P59" i="1"/>
  <c r="Z59" i="1"/>
  <c r="X59" i="1"/>
  <c r="X63" i="1"/>
  <c r="R60" i="1"/>
  <c r="O59" i="1"/>
  <c r="W63" i="1"/>
  <c r="Z64" i="1"/>
  <c r="W67" i="1"/>
  <c r="O67" i="1"/>
  <c r="X64" i="1"/>
  <c r="T58" i="1"/>
  <c r="O64" i="1"/>
  <c r="Y64" i="1"/>
  <c r="Y66" i="1"/>
  <c r="T60" i="1"/>
  <c r="O65" i="1"/>
  <c r="W59" i="1"/>
  <c r="O69" i="1"/>
  <c r="U64" i="1"/>
  <c r="Y63" i="1"/>
  <c r="S68" i="1"/>
  <c r="V59" i="1"/>
  <c r="Q69" i="1"/>
  <c r="O60" i="1"/>
  <c r="O63" i="1"/>
  <c r="S67" i="1"/>
  <c r="W65" i="1"/>
  <c r="P64" i="1"/>
  <c r="S65" i="1"/>
  <c r="O66" i="1"/>
  <c r="Q59" i="1"/>
  <c r="Z58" i="1"/>
  <c r="U60" i="1"/>
  <c r="O58" i="1"/>
  <c r="W68" i="1"/>
  <c r="Q63" i="1"/>
  <c r="V60" i="1"/>
  <c r="P63" i="1"/>
  <c r="W60" i="1"/>
  <c r="W69" i="1"/>
  <c r="W64" i="1"/>
  <c r="Y65" i="1"/>
  <c r="V63" i="1"/>
  <c r="Y59" i="1"/>
  <c r="T64" i="1"/>
  <c r="Q67" i="1"/>
  <c r="T63" i="1"/>
  <c r="Q58" i="1"/>
  <c r="P58" i="1"/>
  <c r="X58" i="1"/>
  <c r="T59" i="1"/>
  <c r="P60" i="1"/>
  <c r="S58" i="1"/>
  <c r="U69" i="1"/>
  <c r="Y68" i="1"/>
  <c r="S60" i="1"/>
  <c r="Y67" i="1"/>
  <c r="W66" i="1"/>
  <c r="V64" i="1"/>
  <c r="Y58" i="1"/>
  <c r="S66" i="1"/>
  <c r="U67" i="1"/>
  <c r="R64" i="1"/>
  <c r="P61" i="1"/>
  <c r="R62" i="1"/>
  <c r="Q62" i="1"/>
  <c r="Z61" i="1"/>
  <c r="Y57" i="1"/>
  <c r="V61" i="1"/>
  <c r="U62" i="1"/>
  <c r="T57" i="1"/>
  <c r="R57" i="1"/>
  <c r="U57" i="1"/>
  <c r="T62" i="1"/>
  <c r="X61" i="1"/>
  <c r="S62" i="1"/>
  <c r="R61" i="1"/>
  <c r="O70" i="1"/>
  <c r="Q70" i="1"/>
  <c r="S70" i="1"/>
  <c r="X57" i="1"/>
  <c r="Z57" i="1"/>
  <c r="W62" i="1"/>
  <c r="T61" i="1"/>
  <c r="W57" i="1"/>
  <c r="X62" i="1"/>
  <c r="V62" i="1"/>
  <c r="V57" i="1"/>
  <c r="S57" i="1"/>
  <c r="W50" i="1"/>
  <c r="S50" i="1"/>
  <c r="Y50" i="1"/>
  <c r="T50" i="1"/>
  <c r="Q50" i="1"/>
  <c r="V50" i="1"/>
  <c r="Z50" i="1"/>
  <c r="R50" i="1"/>
  <c r="U50" i="1"/>
  <c r="P50" i="1"/>
  <c r="X50" i="1"/>
  <c r="O50" i="1"/>
  <c r="Y55" i="1"/>
  <c r="Z53" i="1"/>
  <c r="V54" i="1"/>
  <c r="R55" i="1"/>
  <c r="O55" i="1"/>
  <c r="X56" i="1"/>
  <c r="Q51" i="1"/>
  <c r="V53" i="1"/>
  <c r="S53" i="1"/>
  <c r="U52" i="1"/>
  <c r="Y51" i="1"/>
  <c r="Q56" i="1"/>
  <c r="X53" i="1"/>
  <c r="Z55" i="1"/>
  <c r="V51" i="1"/>
  <c r="W54" i="1"/>
  <c r="U54" i="1"/>
  <c r="S51" i="1"/>
  <c r="P52" i="1"/>
  <c r="Q53" i="1"/>
  <c r="Q54" i="1"/>
  <c r="X54" i="1"/>
  <c r="T55" i="1"/>
  <c r="O57" i="1"/>
  <c r="Z54" i="1"/>
  <c r="S55" i="1"/>
  <c r="R51" i="1"/>
  <c r="S56" i="1"/>
  <c r="Y53" i="1"/>
  <c r="R52" i="1"/>
  <c r="U53" i="1"/>
  <c r="O53" i="1"/>
  <c r="W52" i="1"/>
  <c r="P51" i="1"/>
  <c r="S54" i="1"/>
  <c r="Q55" i="1"/>
  <c r="T54" i="1"/>
  <c r="Z51" i="1"/>
  <c r="T56" i="1"/>
  <c r="T53" i="1"/>
  <c r="P55" i="1"/>
  <c r="O52" i="1"/>
  <c r="O54" i="1"/>
  <c r="Q57" i="1"/>
  <c r="U56" i="1"/>
  <c r="Y54" i="1"/>
  <c r="R53" i="1"/>
  <c r="T51" i="1"/>
  <c r="P56" i="1"/>
  <c r="Z56" i="1"/>
  <c r="R56" i="1"/>
  <c r="V52" i="1"/>
  <c r="P57" i="1"/>
  <c r="P53" i="1"/>
  <c r="W51" i="1"/>
  <c r="R54" i="1"/>
  <c r="X51" i="1"/>
  <c r="P54" i="1"/>
  <c r="O56" i="1"/>
  <c r="V55" i="1"/>
  <c r="Y52" i="1"/>
  <c r="X52" i="1"/>
  <c r="W56" i="1"/>
  <c r="Q52" i="1"/>
  <c r="T52" i="1"/>
  <c r="X55" i="1"/>
  <c r="W55" i="1"/>
  <c r="U55" i="1"/>
  <c r="V56" i="1"/>
  <c r="S52" i="1"/>
  <c r="Y56" i="1"/>
  <c r="Z52" i="1"/>
  <c r="O51" i="1"/>
  <c r="W53" i="1"/>
  <c r="U51" i="1"/>
  <c r="B71" i="1"/>
  <c r="L70" i="1"/>
  <c r="J65" i="1"/>
  <c r="J66" i="1"/>
  <c r="J68" i="1"/>
  <c r="J67" i="1"/>
  <c r="J51" i="1"/>
  <c r="C50" i="1"/>
  <c r="G75" i="1" s="1"/>
  <c r="F71" i="1"/>
  <c r="J96" i="1" s="1"/>
  <c r="H71" i="1"/>
  <c r="J70" i="1"/>
  <c r="H70" i="1"/>
  <c r="D71" i="1"/>
  <c r="H96" i="1" s="1"/>
  <c r="F70" i="1"/>
  <c r="J95" i="1" s="1"/>
  <c r="L69" i="1"/>
  <c r="H69" i="1"/>
  <c r="J69" i="1"/>
  <c r="D70" i="1"/>
  <c r="H95" i="1" s="1"/>
  <c r="F69" i="1"/>
  <c r="J94" i="1" s="1"/>
  <c r="D69" i="1"/>
  <c r="H94" i="1" s="1"/>
  <c r="B70" i="1"/>
  <c r="B69" i="1"/>
  <c r="M61" i="1"/>
  <c r="D66" i="1"/>
  <c r="H91" i="1" s="1"/>
  <c r="L68" i="1"/>
  <c r="F68" i="1"/>
  <c r="L65" i="1"/>
  <c r="J62" i="1"/>
  <c r="G61" i="1"/>
  <c r="B67" i="1"/>
  <c r="B68" i="1"/>
  <c r="D67" i="1"/>
  <c r="F67" i="1"/>
  <c r="J92" i="1" s="1"/>
  <c r="H67" i="1"/>
  <c r="L67" i="1"/>
  <c r="K61" i="1"/>
  <c r="M52" i="1"/>
  <c r="D68" i="1"/>
  <c r="H93" i="1" s="1"/>
  <c r="F66" i="1"/>
  <c r="J91" i="1" s="1"/>
  <c r="H68" i="1"/>
  <c r="H65" i="1"/>
  <c r="E61" i="1"/>
  <c r="I86" i="1" s="1"/>
  <c r="B65" i="1"/>
  <c r="H66" i="1"/>
  <c r="B66" i="1"/>
  <c r="L52" i="1"/>
  <c r="C61" i="1"/>
  <c r="G86" i="1" s="1"/>
  <c r="D65" i="1"/>
  <c r="H90" i="1" s="1"/>
  <c r="I61" i="1"/>
  <c r="L66" i="1"/>
  <c r="F65" i="1"/>
  <c r="J90" i="1" s="1"/>
  <c r="B52" i="1"/>
  <c r="D58" i="1"/>
  <c r="H83" i="1" s="1"/>
  <c r="M58" i="1"/>
  <c r="L58" i="1"/>
  <c r="F58" i="1"/>
  <c r="J83" i="1" s="1"/>
  <c r="G58" i="1"/>
  <c r="K58" i="1"/>
  <c r="E58" i="1"/>
  <c r="I83" i="1" s="1"/>
  <c r="J58" i="1"/>
  <c r="I58" i="1"/>
  <c r="C58" i="1"/>
  <c r="G83" i="1" s="1"/>
  <c r="H58" i="1"/>
  <c r="B58" i="1"/>
  <c r="C52" i="1"/>
  <c r="G77" i="1" s="1"/>
  <c r="I52" i="1"/>
  <c r="D52" i="1"/>
  <c r="H77" i="1" s="1"/>
  <c r="J52" i="1"/>
  <c r="E52" i="1"/>
  <c r="I77" i="1" s="1"/>
  <c r="K52" i="1"/>
  <c r="F52" i="1"/>
  <c r="J77" i="1" s="1"/>
  <c r="G52" i="1"/>
  <c r="H52" i="1"/>
  <c r="F53" i="1"/>
  <c r="J78" i="1" s="1"/>
  <c r="L53" i="1"/>
  <c r="G53" i="1"/>
  <c r="M53" i="1"/>
  <c r="B53" i="1"/>
  <c r="H53" i="1"/>
  <c r="C53" i="1"/>
  <c r="G78" i="1" s="1"/>
  <c r="I53" i="1"/>
  <c r="D53" i="1"/>
  <c r="H78" i="1" s="1"/>
  <c r="J53" i="1"/>
  <c r="E53" i="1"/>
  <c r="I78" i="1" s="1"/>
  <c r="K53" i="1"/>
  <c r="B54" i="1"/>
  <c r="H54" i="1"/>
  <c r="C54" i="1"/>
  <c r="G79" i="1" s="1"/>
  <c r="J54" i="1"/>
  <c r="E54" i="1"/>
  <c r="I79" i="1" s="1"/>
  <c r="K54" i="1"/>
  <c r="D54" i="1"/>
  <c r="H79" i="1" s="1"/>
  <c r="F54" i="1"/>
  <c r="J79" i="1" s="1"/>
  <c r="L54" i="1"/>
  <c r="I54" i="1"/>
  <c r="G54" i="1"/>
  <c r="M54" i="1"/>
  <c r="G55" i="1"/>
  <c r="M55" i="1"/>
  <c r="B55" i="1"/>
  <c r="H55" i="1"/>
  <c r="C55" i="1"/>
  <c r="G80" i="1" s="1"/>
  <c r="I55" i="1"/>
  <c r="D55" i="1"/>
  <c r="H80" i="1" s="1"/>
  <c r="J55" i="1"/>
  <c r="E55" i="1"/>
  <c r="I80" i="1" s="1"/>
  <c r="K55" i="1"/>
  <c r="F55" i="1"/>
  <c r="L55" i="1"/>
  <c r="H56" i="1"/>
  <c r="I56" i="1"/>
  <c r="D56" i="1"/>
  <c r="H81" i="1" s="1"/>
  <c r="J56" i="1"/>
  <c r="C56" i="1"/>
  <c r="G81" i="1" s="1"/>
  <c r="E56" i="1"/>
  <c r="I81" i="1" s="1"/>
  <c r="K56" i="1"/>
  <c r="B56" i="1"/>
  <c r="F56" i="1"/>
  <c r="J81" i="1" s="1"/>
  <c r="L56" i="1"/>
  <c r="G56" i="1"/>
  <c r="M56" i="1"/>
  <c r="C57" i="1"/>
  <c r="G82" i="1" s="1"/>
  <c r="I57" i="1"/>
  <c r="D57" i="1"/>
  <c r="H82" i="1" s="1"/>
  <c r="J57" i="1"/>
  <c r="E57" i="1"/>
  <c r="I82" i="1" s="1"/>
  <c r="K57" i="1"/>
  <c r="F57" i="1"/>
  <c r="J82" i="1" s="1"/>
  <c r="L57" i="1"/>
  <c r="G57" i="1"/>
  <c r="M57" i="1"/>
  <c r="B57" i="1"/>
  <c r="H57" i="1"/>
  <c r="E59" i="1"/>
  <c r="I84" i="1" s="1"/>
  <c r="F59" i="1"/>
  <c r="J84" i="1" s="1"/>
  <c r="B59" i="1"/>
  <c r="H59" i="1"/>
  <c r="C59" i="1"/>
  <c r="I59" i="1"/>
  <c r="D59" i="1"/>
  <c r="J59" i="1"/>
  <c r="K59" i="1"/>
  <c r="L59" i="1"/>
  <c r="G59" i="1"/>
  <c r="M59" i="1"/>
  <c r="C60" i="1"/>
  <c r="I60" i="1"/>
  <c r="D60" i="1"/>
  <c r="J60" i="1"/>
  <c r="E60" i="1"/>
  <c r="I85" i="1" s="1"/>
  <c r="K60" i="1"/>
  <c r="F60" i="1"/>
  <c r="J85" i="1" s="1"/>
  <c r="L60" i="1"/>
  <c r="G60" i="1"/>
  <c r="M60" i="1"/>
  <c r="B60" i="1"/>
  <c r="H60" i="1"/>
  <c r="E62" i="1"/>
  <c r="I87" i="1" s="1"/>
  <c r="F62" i="1"/>
  <c r="J87" i="1" s="1"/>
  <c r="G62" i="1"/>
  <c r="H62" i="1"/>
  <c r="K62" i="1"/>
  <c r="I62" i="1"/>
  <c r="D62" i="1"/>
  <c r="D50" i="1"/>
  <c r="H75" i="1" s="1"/>
  <c r="K50" i="1"/>
  <c r="B50" i="1"/>
  <c r="H50" i="1"/>
  <c r="I50" i="1"/>
  <c r="J50" i="1"/>
  <c r="E50" i="1"/>
  <c r="I75" i="1" s="1"/>
  <c r="F50" i="1"/>
  <c r="J75" i="1" s="1"/>
  <c r="L50" i="1"/>
  <c r="G50" i="1"/>
  <c r="M50" i="1"/>
  <c r="D51" i="1"/>
  <c r="H76" i="1" s="1"/>
  <c r="E51" i="1"/>
  <c r="I76" i="1" s="1"/>
  <c r="K51" i="1"/>
  <c r="F51" i="1"/>
  <c r="J76" i="1" s="1"/>
  <c r="L51" i="1"/>
  <c r="G51" i="1"/>
  <c r="M51" i="1"/>
  <c r="B51" i="1"/>
  <c r="H51" i="1"/>
  <c r="C51" i="1"/>
  <c r="I51" i="1"/>
  <c r="F63" i="1"/>
  <c r="J88" i="1" s="1"/>
  <c r="B63" i="1"/>
  <c r="H63" i="1"/>
  <c r="I63" i="1"/>
  <c r="D63" i="1"/>
  <c r="H88" i="1" s="1"/>
  <c r="J63" i="1"/>
  <c r="C63" i="1"/>
  <c r="E63" i="1"/>
  <c r="I88" i="1" s="1"/>
  <c r="K63" i="1"/>
  <c r="L63" i="1"/>
  <c r="G63" i="1"/>
  <c r="M63" i="1"/>
  <c r="C64" i="1"/>
  <c r="G89" i="1" s="1"/>
  <c r="I64" i="1"/>
  <c r="D64" i="1"/>
  <c r="H89" i="1" s="1"/>
  <c r="J64" i="1"/>
  <c r="E64" i="1"/>
  <c r="I89" i="1" s="1"/>
  <c r="K64" i="1"/>
  <c r="F64" i="1"/>
  <c r="J89" i="1" s="1"/>
  <c r="L64" i="1"/>
  <c r="G64" i="1"/>
  <c r="M64" i="1"/>
  <c r="B64" i="1"/>
  <c r="H64" i="1"/>
  <c r="B81" i="1" l="1"/>
  <c r="C81" i="1" s="1"/>
  <c r="B75" i="1"/>
  <c r="C75" i="1" s="1"/>
  <c r="B94" i="1"/>
  <c r="C94" i="1" s="1"/>
  <c r="B95" i="1"/>
  <c r="C95" i="1" s="1"/>
  <c r="B78" i="1"/>
  <c r="C78" i="1" s="1"/>
  <c r="B83" i="1"/>
  <c r="C83" i="1" s="1"/>
  <c r="B85" i="1"/>
  <c r="C85" i="1" s="1"/>
  <c r="B88" i="1"/>
  <c r="C88" i="1" s="1"/>
  <c r="B89" i="1"/>
  <c r="C89" i="1" s="1"/>
  <c r="B90" i="1"/>
  <c r="C90" i="1" s="1"/>
  <c r="B77" i="1"/>
  <c r="C77" i="1" s="1"/>
  <c r="B86" i="1"/>
  <c r="C86" i="1" s="1"/>
  <c r="B92" i="1"/>
  <c r="C92" i="1" s="1"/>
  <c r="B91" i="1"/>
  <c r="C91" i="1" s="1"/>
  <c r="B93" i="1"/>
  <c r="C93" i="1" s="1"/>
  <c r="B84" i="1"/>
  <c r="C84" i="1" s="1"/>
  <c r="B76" i="1"/>
  <c r="C76" i="1" s="1"/>
  <c r="B79" i="1"/>
  <c r="C79" i="1" s="1"/>
  <c r="B80" i="1"/>
  <c r="C80" i="1" s="1"/>
  <c r="B82" i="1"/>
  <c r="C82" i="1" s="1"/>
  <c r="B87" i="1"/>
  <c r="C87" i="1" s="1"/>
  <c r="B96" i="1"/>
  <c r="C96" i="1" s="1"/>
</calcChain>
</file>

<file path=xl/comments1.xml><?xml version="1.0" encoding="utf-8"?>
<comments xmlns="http://schemas.openxmlformats.org/spreadsheetml/2006/main">
  <authors>
    <author>作者</author>
  </authors>
  <commentList>
    <comment ref="F1" authorId="0" shapeId="0">
      <text>
        <r>
          <rPr>
            <b/>
            <sz val="9"/>
            <color indexed="81"/>
            <rFont val="宋体"/>
            <family val="3"/>
            <charset val="134"/>
          </rPr>
          <t xml:space="preserve">免收至2023/3/1
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Z12" authorId="0" shapeId="0">
      <text>
        <r>
          <rPr>
            <b/>
            <sz val="9"/>
            <color indexed="81"/>
            <rFont val="宋体"/>
            <family val="3"/>
            <charset val="134"/>
          </rPr>
          <t>次年最后一个交割月份</t>
        </r>
      </text>
    </comment>
    <comment ref="Z14" authorId="0" shapeId="0">
      <text>
        <r>
          <rPr>
            <b/>
            <sz val="9"/>
            <color indexed="81"/>
            <rFont val="宋体"/>
            <family val="3"/>
            <charset val="134"/>
          </rPr>
          <t>生产年份次年最后一个交割月份，且应在6月（不含）以前入库</t>
        </r>
      </text>
    </comment>
    <comment ref="Y21" authorId="0" shapeId="0">
      <text>
        <r>
          <rPr>
            <b/>
            <sz val="9"/>
            <color indexed="81"/>
            <rFont val="宋体"/>
            <family val="3"/>
            <charset val="134"/>
          </rPr>
          <t xml:space="preserve">N+1年11月第15个交易日
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Y22" authorId="0" shapeId="0">
      <text>
        <r>
          <rPr>
            <b/>
            <sz val="9"/>
            <color indexed="81"/>
            <rFont val="宋体"/>
            <family val="3"/>
            <charset val="134"/>
          </rPr>
          <t xml:space="preserve">N+1年11月第15个交易日
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W23" authorId="0" shapeId="0">
      <text>
        <r>
          <rPr>
            <b/>
            <sz val="9"/>
            <color indexed="81"/>
            <rFont val="宋体"/>
            <family val="3"/>
            <charset val="134"/>
          </rPr>
          <t>N年11月1日起接受红枣标准仓单注册，仓单有效期至N+1年9月份最后一个交易日（含该日）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B36" authorId="0" shapeId="0">
      <text>
        <r>
          <rPr>
            <b/>
            <sz val="9"/>
            <color indexed="81"/>
            <rFont val="宋体"/>
            <family val="3"/>
            <charset val="134"/>
          </rPr>
          <t>次年最后一个交割月份</t>
        </r>
      </text>
    </comment>
    <comment ref="Z38" authorId="0" shapeId="0">
      <text>
        <r>
          <rPr>
            <b/>
            <sz val="9"/>
            <color indexed="81"/>
            <rFont val="宋体"/>
            <family val="3"/>
            <charset val="134"/>
          </rPr>
          <t>生产年份次年最后一个交割月份，且应在6月（不含）以前入库</t>
        </r>
      </text>
    </comment>
    <comment ref="L45" authorId="0" shapeId="0">
      <text>
        <r>
          <rPr>
            <b/>
            <sz val="9"/>
            <color indexed="81"/>
            <rFont val="宋体"/>
            <family val="3"/>
            <charset val="134"/>
          </rPr>
          <t xml:space="preserve">N+1年11月第15个交易日
</t>
        </r>
      </text>
    </comment>
    <comment ref="Y45" authorId="0" shapeId="0">
      <text>
        <r>
          <rPr>
            <b/>
            <sz val="9"/>
            <color indexed="81"/>
            <rFont val="宋体"/>
            <family val="3"/>
            <charset val="134"/>
          </rPr>
          <t xml:space="preserve">N+1年11月第15个交易日
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L46" authorId="0" shapeId="0">
      <text>
        <r>
          <rPr>
            <b/>
            <sz val="9"/>
            <color indexed="81"/>
            <rFont val="宋体"/>
            <family val="3"/>
            <charset val="134"/>
          </rPr>
          <t>N制糖年度（每年的10月1日至次年的9月30日）生产的白糖所注册的标准仓单有效期为该制糖年度结束后当年11月份的最后一个工作日（含该日）</t>
        </r>
      </text>
    </comment>
    <comment ref="Y46" authorId="0" shapeId="0">
      <text>
        <r>
          <rPr>
            <b/>
            <sz val="9"/>
            <color indexed="81"/>
            <rFont val="宋体"/>
            <family val="3"/>
            <charset val="134"/>
          </rPr>
          <t xml:space="preserve">N+1年11月第15个交易日
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J47" authorId="0" shapeId="0">
      <text>
        <r>
          <rPr>
            <b/>
            <sz val="9"/>
            <color indexed="81"/>
            <rFont val="宋体"/>
            <family val="3"/>
            <charset val="134"/>
          </rPr>
          <t>N年11月1日起接受红枣标准仓单注册，仓单有效期至N+1年9月份最后一个交易日（含该日）</t>
        </r>
      </text>
    </comment>
    <comment ref="W47" authorId="0" shapeId="0">
      <text>
        <r>
          <rPr>
            <b/>
            <sz val="9"/>
            <color indexed="81"/>
            <rFont val="宋体"/>
            <family val="3"/>
            <charset val="134"/>
          </rPr>
          <t>N年11月1日起接受红枣标准仓单注册，仓单有效期至N+1年9月份最后一个交易日（含该日）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<sst xmlns="http://schemas.openxmlformats.org/spreadsheetml/2006/main" count="238" uniqueCount="68">
  <si>
    <t>2月</t>
    <phoneticPr fontId="2" type="noConversion"/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</si>
  <si>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</si>
  <si>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</si>
  <si>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</si>
  <si>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</si>
  <si>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</si>
  <si>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</si>
  <si>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</si>
  <si>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</si>
  <si>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</si>
  <si>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EG</t>
    <phoneticPr fontId="2" type="noConversion"/>
  </si>
  <si>
    <t>12月</t>
  </si>
  <si>
    <t>1月</t>
  </si>
  <si>
    <t>CU</t>
    <phoneticPr fontId="2" type="noConversion"/>
  </si>
  <si>
    <t>AL</t>
    <phoneticPr fontId="2" type="noConversion"/>
  </si>
  <si>
    <t>ZN</t>
    <phoneticPr fontId="2" type="noConversion"/>
  </si>
  <si>
    <t>AG</t>
    <phoneticPr fontId="2" type="noConversion"/>
  </si>
  <si>
    <t>RU</t>
    <phoneticPr fontId="2" type="noConversion"/>
  </si>
  <si>
    <t>SC</t>
    <phoneticPr fontId="2" type="noConversion"/>
  </si>
  <si>
    <t>M</t>
    <phoneticPr fontId="2" type="noConversion"/>
  </si>
  <si>
    <t>A</t>
    <phoneticPr fontId="2" type="noConversion"/>
  </si>
  <si>
    <t>PG</t>
    <phoneticPr fontId="2" type="noConversion"/>
  </si>
  <si>
    <t>CF</t>
    <phoneticPr fontId="2" type="noConversion"/>
  </si>
  <si>
    <t>SR</t>
    <phoneticPr fontId="2" type="noConversion"/>
  </si>
  <si>
    <t>CJ</t>
    <phoneticPr fontId="2" type="noConversion"/>
  </si>
  <si>
    <t>PB</t>
    <phoneticPr fontId="2" type="noConversion"/>
  </si>
  <si>
    <t>NI</t>
    <phoneticPr fontId="2" type="noConversion"/>
  </si>
  <si>
    <t>BC</t>
    <phoneticPr fontId="2" type="noConversion"/>
  </si>
  <si>
    <t>C</t>
    <phoneticPr fontId="2" type="noConversion"/>
  </si>
  <si>
    <t>AU</t>
    <phoneticPr fontId="2" type="noConversion"/>
  </si>
  <si>
    <t>RB</t>
    <phoneticPr fontId="2" type="noConversion"/>
  </si>
  <si>
    <t>HC</t>
    <phoneticPr fontId="2" type="noConversion"/>
  </si>
  <si>
    <t>FU</t>
    <phoneticPr fontId="2" type="noConversion"/>
  </si>
  <si>
    <t>CS</t>
    <phoneticPr fontId="2" type="noConversion"/>
  </si>
  <si>
    <t>最新价</t>
    <phoneticPr fontId="2" type="noConversion"/>
  </si>
  <si>
    <t>1-2月</t>
    <phoneticPr fontId="2" type="noConversion"/>
  </si>
  <si>
    <t>6-7月</t>
    <phoneticPr fontId="2" type="noConversion"/>
  </si>
  <si>
    <t>9-10月</t>
    <phoneticPr fontId="2" type="noConversion"/>
  </si>
  <si>
    <t>10-11月</t>
    <phoneticPr fontId="2" type="noConversion"/>
  </si>
  <si>
    <t>11-12月</t>
    <phoneticPr fontId="2" type="noConversion"/>
  </si>
  <si>
    <t>12-1月</t>
    <phoneticPr fontId="2" type="noConversion"/>
  </si>
  <si>
    <t>2-3月</t>
    <phoneticPr fontId="2" type="noConversion"/>
  </si>
  <si>
    <t>3-4月</t>
    <phoneticPr fontId="2" type="noConversion"/>
  </si>
  <si>
    <t>4-5月</t>
    <phoneticPr fontId="2" type="noConversion"/>
  </si>
  <si>
    <t>5-6月</t>
    <phoneticPr fontId="2" type="noConversion"/>
  </si>
  <si>
    <t>7-8月</t>
    <phoneticPr fontId="2" type="noConversion"/>
  </si>
  <si>
    <t>8-9月</t>
    <phoneticPr fontId="2" type="noConversion"/>
  </si>
  <si>
    <t>最新价</t>
    <phoneticPr fontId="2" type="noConversion"/>
  </si>
  <si>
    <t>最后交割日</t>
    <phoneticPr fontId="2" type="noConversion"/>
  </si>
  <si>
    <t>最新价差</t>
    <phoneticPr fontId="2" type="noConversion"/>
  </si>
  <si>
    <t>天数</t>
    <phoneticPr fontId="2" type="noConversion"/>
  </si>
  <si>
    <t>12-1月</t>
    <phoneticPr fontId="2" type="noConversion"/>
  </si>
  <si>
    <t>费用明细</t>
    <phoneticPr fontId="2" type="noConversion"/>
  </si>
  <si>
    <t>绿色代表天数比较多的月份</t>
    <phoneticPr fontId="2" type="noConversion"/>
  </si>
  <si>
    <t>红色代表天数比较少的月份</t>
    <phoneticPr fontId="2" type="noConversion"/>
  </si>
  <si>
    <t>加粗加下划线代表不能转抛</t>
    <phoneticPr fontId="2" type="noConversion"/>
  </si>
  <si>
    <t>SC</t>
    <phoneticPr fontId="2" type="noConversion"/>
  </si>
  <si>
    <t>增值税率</t>
  </si>
  <si>
    <t>仓储费（元/吨/天）</t>
  </si>
  <si>
    <t>交易费（元/吨）</t>
    <phoneticPr fontId="2" type="noConversion"/>
  </si>
  <si>
    <t>交易手续费率</t>
    <phoneticPr fontId="2" type="noConversion"/>
  </si>
  <si>
    <t>印花税（元/吨）</t>
    <phoneticPr fontId="2" type="noConversion"/>
  </si>
  <si>
    <t>交割费（元/吨）</t>
    <phoneticPr fontId="2" type="noConversion"/>
  </si>
  <si>
    <t>绿色代表跨年度不能转抛</t>
    <phoneticPr fontId="2" type="noConversion"/>
  </si>
  <si>
    <t>红色代表在0资金成本的情况下，实际价差低于无风险成本，有利润空间。</t>
    <phoneticPr fontId="2" type="noConversion"/>
  </si>
  <si>
    <t>仓储费标准（元/吨/天）</t>
    <phoneticPr fontId="2" type="noConversion"/>
  </si>
  <si>
    <t>0成本</t>
    <phoneticPr fontId="2" type="noConversion"/>
  </si>
  <si>
    <t>成本*0.7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</si>
</sst>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 * #,##0.00_ ;_ * \-#,##0.00_ ;_ * &quot;-&quot;??_ ;_ @_ "/>
    <numFmt numFmtId="176" formatCode="0.000%"/>
    <numFmt numFmtId="177" formatCode="0.0"/>
    <numFmt numFmtId="178" formatCode="_ * #,##0.0000_ ;_ * \-#,##0.0000_ ;_ * &quot;-&quot;??_ ;_ @_ "/>
  </numFmts>
  <fonts count="11" x14ac:knownFonts="1">
    <font>
      <sz val="11"/>
      <color theme="1"/>
      <name val="宋体"/>
      <family val="2"/>
      <scheme val="minor"/>
    </font>
    <font>
      <sz val="10"/>
      <color theme="1"/>
      <name val="微软雅黑"/>
      <family val="2"/>
      <charset val="134"/>
    </font>
    <font>
      <sz val="9"/>
      <name val="宋体"/>
      <family val="3"/>
      <charset val="134"/>
      <scheme val="minor"/>
    </font>
    <font>
      <sz val="10"/>
      <name val="微软雅黑"/>
      <family val="2"/>
      <charset val="134"/>
    </font>
    <font>
      <sz val="11"/>
      <color theme="1"/>
      <name val="宋体"/>
      <family val="2"/>
      <scheme val="minor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8"/>
      <name val="微软雅黑"/>
      <family val="2"/>
      <charset val="134"/>
    </font>
    <font>
      <sz val="8"/>
      <color theme="1"/>
      <name val="微软雅黑"/>
      <family val="2"/>
      <charset val="134"/>
    </font>
    <font>
      <sz val="8"/>
      <color theme="1"/>
      <name val="宋体"/>
      <family val="2"/>
      <scheme val="minor"/>
    </font>
    <font>
      <b/>
      <i/>
      <u/>
      <sz val="11"/>
      <name val="微软雅黑"/>
      <family val="2"/>
      <charset val="134"/>
    </font>
  </fonts>
  <fills count="10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8" tint="0.79995117038483843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</cellStyleXfs>
  <cellXfs count="128">
    <xf numFmtId="0" fontId="0" fillId="0" borderId="0" xfId="0"/>
    <xf numFmtId="0" fontId="1" fillId="2" borderId="2" xfId="0" applyNumberFormat="1" applyFont="1" applyFill="1" applyBorder="1" applyAlignment="1">
      <alignment horizontal="center"/>
    </xf>
    <xf numFmtId="0" fontId="3" fillId="0" borderId="2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center"/>
    </xf>
    <xf numFmtId="0" fontId="3" fillId="0" borderId="0" xfId="0" applyNumberFormat="1" applyFont="1" applyFill="1" applyBorder="1" applyAlignment="1">
      <alignment horizontal="center"/>
    </xf>
    <xf numFmtId="0" fontId="1" fillId="4" borderId="2" xfId="0" applyNumberFormat="1" applyFont="1" applyFill="1" applyBorder="1" applyAlignment="1">
      <alignment horizontal="center"/>
    </xf>
    <xf numFmtId="0" fontId="1" fillId="5" borderId="2" xfId="0" applyNumberFormat="1" applyFont="1" applyFill="1" applyBorder="1" applyAlignment="1">
      <alignment horizontal="center"/>
    </xf>
    <xf numFmtId="0" fontId="3" fillId="0" borderId="3" xfId="0" applyNumberFormat="1" applyFont="1" applyFill="1" applyBorder="1" applyAlignment="1">
      <alignment horizontal="center"/>
    </xf>
    <xf numFmtId="0" fontId="1" fillId="6" borderId="2" xfId="0" applyNumberFormat="1" applyFont="1" applyFill="1" applyBorder="1" applyAlignment="1">
      <alignment horizontal="center"/>
    </xf>
    <xf numFmtId="0" fontId="3" fillId="0" borderId="4" xfId="0" applyNumberFormat="1" applyFont="1" applyFill="1" applyBorder="1" applyAlignment="1">
      <alignment horizontal="center"/>
    </xf>
    <xf numFmtId="0" fontId="1" fillId="6" borderId="7" xfId="0" applyNumberFormat="1" applyFont="1" applyFill="1" applyBorder="1" applyAlignment="1">
      <alignment horizontal="center"/>
    </xf>
    <xf numFmtId="0" fontId="3" fillId="0" borderId="7" xfId="0" applyNumberFormat="1" applyFont="1" applyFill="1" applyBorder="1" applyAlignment="1">
      <alignment horizontal="center"/>
    </xf>
    <xf numFmtId="0" fontId="1" fillId="0" borderId="8" xfId="0" applyNumberFormat="1" applyFont="1" applyFill="1" applyBorder="1" applyAlignment="1">
      <alignment horizontal="center"/>
    </xf>
    <xf numFmtId="0" fontId="3" fillId="0" borderId="8" xfId="0" applyNumberFormat="1" applyFont="1" applyFill="1" applyBorder="1" applyAlignment="1">
      <alignment horizontal="center"/>
    </xf>
    <xf numFmtId="0" fontId="3" fillId="0" borderId="9" xfId="0" applyNumberFormat="1" applyFont="1" applyFill="1" applyBorder="1" applyAlignment="1">
      <alignment horizontal="center"/>
    </xf>
    <xf numFmtId="0" fontId="1" fillId="2" borderId="11" xfId="0" applyNumberFormat="1" applyFont="1" applyFill="1" applyBorder="1" applyAlignment="1">
      <alignment horizontal="center"/>
    </xf>
    <xf numFmtId="0" fontId="1" fillId="4" borderId="11" xfId="0" applyNumberFormat="1" applyFont="1" applyFill="1" applyBorder="1" applyAlignment="1">
      <alignment horizontal="center"/>
    </xf>
    <xf numFmtId="0" fontId="1" fillId="5" borderId="11" xfId="0" applyNumberFormat="1" applyFont="1" applyFill="1" applyBorder="1" applyAlignment="1">
      <alignment horizontal="center"/>
    </xf>
    <xf numFmtId="0" fontId="1" fillId="6" borderId="11" xfId="0" applyNumberFormat="1" applyFont="1" applyFill="1" applyBorder="1" applyAlignment="1">
      <alignment horizontal="center"/>
    </xf>
    <xf numFmtId="0" fontId="1" fillId="6" borderId="12" xfId="0" applyNumberFormat="1" applyFont="1" applyFill="1" applyBorder="1" applyAlignment="1">
      <alignment horizontal="center"/>
    </xf>
    <xf numFmtId="0" fontId="1" fillId="3" borderId="13" xfId="0" applyNumberFormat="1" applyFont="1" applyFill="1" applyBorder="1" applyAlignment="1">
      <alignment horizontal="center"/>
    </xf>
    <xf numFmtId="0" fontId="1" fillId="3" borderId="0" xfId="0" applyNumberFormat="1" applyFont="1" applyFill="1" applyBorder="1" applyAlignment="1">
      <alignment horizontal="center"/>
    </xf>
    <xf numFmtId="0" fontId="3" fillId="3" borderId="0" xfId="0" applyNumberFormat="1" applyFont="1" applyFill="1" applyBorder="1" applyAlignment="1">
      <alignment horizontal="center"/>
    </xf>
    <xf numFmtId="0" fontId="3" fillId="3" borderId="8" xfId="0" applyNumberFormat="1" applyFont="1" applyFill="1" applyBorder="1" applyAlignment="1">
      <alignment horizontal="center"/>
    </xf>
    <xf numFmtId="9" fontId="1" fillId="0" borderId="0" xfId="1" applyFont="1" applyFill="1" applyBorder="1" applyAlignment="1">
      <alignment horizontal="center"/>
    </xf>
    <xf numFmtId="0" fontId="1" fillId="3" borderId="4" xfId="0" applyNumberFormat="1" applyFont="1" applyFill="1" applyBorder="1" applyAlignment="1">
      <alignment horizontal="center" wrapText="1"/>
    </xf>
    <xf numFmtId="0" fontId="1" fillId="2" borderId="1" xfId="0" applyNumberFormat="1" applyFont="1" applyFill="1" applyBorder="1" applyAlignment="1">
      <alignment horizontal="center" wrapText="1"/>
    </xf>
    <xf numFmtId="0" fontId="1" fillId="2" borderId="6" xfId="0" applyNumberFormat="1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1" fillId="2" borderId="14" xfId="0" applyNumberFormat="1" applyFont="1" applyFill="1" applyBorder="1" applyAlignment="1">
      <alignment horizontal="center" wrapText="1"/>
    </xf>
    <xf numFmtId="14" fontId="7" fillId="0" borderId="0" xfId="0" applyNumberFormat="1" applyFont="1" applyBorder="1" applyAlignment="1">
      <alignment horizontal="center"/>
    </xf>
    <xf numFmtId="14" fontId="8" fillId="0" borderId="0" xfId="0" applyNumberFormat="1" applyFont="1" applyBorder="1" applyAlignment="1">
      <alignment horizontal="center"/>
    </xf>
    <xf numFmtId="14" fontId="8" fillId="0" borderId="0" xfId="0" applyNumberFormat="1" applyFont="1" applyFill="1" applyBorder="1" applyAlignment="1">
      <alignment horizontal="center"/>
    </xf>
    <xf numFmtId="0" fontId="8" fillId="0" borderId="0" xfId="0" applyNumberFormat="1" applyFont="1" applyFill="1" applyBorder="1" applyAlignment="1">
      <alignment horizontal="center"/>
    </xf>
    <xf numFmtId="0" fontId="7" fillId="0" borderId="0" xfId="0" applyNumberFormat="1" applyFont="1" applyFill="1" applyBorder="1" applyAlignment="1">
      <alignment horizontal="center"/>
    </xf>
    <xf numFmtId="14" fontId="7" fillId="0" borderId="3" xfId="0" applyNumberFormat="1" applyFont="1" applyBorder="1" applyAlignment="1">
      <alignment horizontal="center"/>
    </xf>
    <xf numFmtId="14" fontId="8" fillId="3" borderId="3" xfId="0" applyNumberFormat="1" applyFont="1" applyFill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8" fillId="3" borderId="3" xfId="0" applyNumberFormat="1" applyFont="1" applyFill="1" applyBorder="1" applyAlignment="1">
      <alignment horizontal="center"/>
    </xf>
    <xf numFmtId="14" fontId="7" fillId="0" borderId="0" xfId="0" applyNumberFormat="1" applyFont="1" applyFill="1" applyBorder="1" applyAlignment="1">
      <alignment horizontal="center"/>
    </xf>
    <xf numFmtId="14" fontId="8" fillId="0" borderId="3" xfId="0" applyNumberFormat="1" applyFont="1" applyFill="1" applyBorder="1" applyAlignment="1">
      <alignment horizontal="center"/>
    </xf>
    <xf numFmtId="14" fontId="8" fillId="3" borderId="0" xfId="0" applyNumberFormat="1" applyFont="1" applyFill="1" applyBorder="1" applyAlignment="1">
      <alignment horizontal="center"/>
    </xf>
    <xf numFmtId="14" fontId="7" fillId="3" borderId="0" xfId="0" applyNumberFormat="1" applyFont="1" applyFill="1" applyBorder="1" applyAlignment="1">
      <alignment horizontal="center"/>
    </xf>
    <xf numFmtId="14" fontId="8" fillId="0" borderId="0" xfId="0" applyNumberFormat="1" applyFont="1" applyBorder="1"/>
    <xf numFmtId="0" fontId="8" fillId="0" borderId="3" xfId="0" applyNumberFormat="1" applyFont="1" applyFill="1" applyBorder="1" applyAlignment="1">
      <alignment horizontal="center"/>
    </xf>
    <xf numFmtId="0" fontId="9" fillId="0" borderId="8" xfId="0" applyFont="1" applyBorder="1" applyAlignment="1">
      <alignment horizontal="center"/>
    </xf>
    <xf numFmtId="14" fontId="8" fillId="0" borderId="8" xfId="0" applyNumberFormat="1" applyFont="1" applyFill="1" applyBorder="1" applyAlignment="1">
      <alignment horizontal="center"/>
    </xf>
    <xf numFmtId="14" fontId="8" fillId="3" borderId="8" xfId="0" applyNumberFormat="1" applyFont="1" applyFill="1" applyBorder="1" applyAlignment="1">
      <alignment horizontal="center"/>
    </xf>
    <xf numFmtId="0" fontId="8" fillId="0" borderId="8" xfId="0" applyNumberFormat="1" applyFont="1" applyFill="1" applyBorder="1" applyAlignment="1">
      <alignment horizontal="center"/>
    </xf>
    <xf numFmtId="14" fontId="7" fillId="0" borderId="9" xfId="0" applyNumberFormat="1" applyFont="1" applyBorder="1" applyAlignment="1">
      <alignment horizontal="center" vertical="center"/>
    </xf>
    <xf numFmtId="0" fontId="7" fillId="0" borderId="2" xfId="0" applyNumberFormat="1" applyFont="1" applyBorder="1" applyAlignment="1">
      <alignment horizontal="center"/>
    </xf>
    <xf numFmtId="0" fontId="1" fillId="2" borderId="15" xfId="0" applyNumberFormat="1" applyFont="1" applyFill="1" applyBorder="1" applyAlignment="1">
      <alignment horizontal="center" wrapText="1"/>
    </xf>
    <xf numFmtId="0" fontId="1" fillId="2" borderId="16" xfId="0" applyNumberFormat="1" applyFont="1" applyFill="1" applyBorder="1" applyAlignment="1">
      <alignment horizontal="center" wrapText="1"/>
    </xf>
    <xf numFmtId="0" fontId="7" fillId="0" borderId="0" xfId="0" applyNumberFormat="1" applyFont="1" applyBorder="1" applyAlignment="1">
      <alignment horizontal="center"/>
    </xf>
    <xf numFmtId="0" fontId="7" fillId="0" borderId="3" xfId="0" applyNumberFormat="1" applyFont="1" applyBorder="1" applyAlignment="1">
      <alignment horizontal="center"/>
    </xf>
    <xf numFmtId="0" fontId="7" fillId="3" borderId="0" xfId="0" applyNumberFormat="1" applyFont="1" applyFill="1" applyBorder="1" applyAlignment="1">
      <alignment horizontal="center"/>
    </xf>
    <xf numFmtId="0" fontId="7" fillId="0" borderId="4" xfId="0" applyNumberFormat="1" applyFont="1" applyBorder="1" applyAlignment="1">
      <alignment horizontal="center"/>
    </xf>
    <xf numFmtId="0" fontId="7" fillId="0" borderId="17" xfId="0" applyNumberFormat="1" applyFont="1" applyBorder="1" applyAlignment="1">
      <alignment horizontal="center"/>
    </xf>
    <xf numFmtId="0" fontId="7" fillId="3" borderId="17" xfId="0" applyNumberFormat="1" applyFont="1" applyFill="1" applyBorder="1" applyAlignment="1">
      <alignment horizontal="center"/>
    </xf>
    <xf numFmtId="0" fontId="7" fillId="0" borderId="18" xfId="0" applyNumberFormat="1" applyFont="1" applyBorder="1" applyAlignment="1">
      <alignment horizontal="center"/>
    </xf>
    <xf numFmtId="0" fontId="7" fillId="0" borderId="7" xfId="0" applyNumberFormat="1" applyFont="1" applyBorder="1" applyAlignment="1">
      <alignment horizontal="center"/>
    </xf>
    <xf numFmtId="0" fontId="7" fillId="0" borderId="8" xfId="0" applyNumberFormat="1" applyFont="1" applyBorder="1" applyAlignment="1">
      <alignment horizontal="center"/>
    </xf>
    <xf numFmtId="0" fontId="7" fillId="0" borderId="9" xfId="0" applyNumberFormat="1" applyFont="1" applyBorder="1" applyAlignment="1">
      <alignment horizontal="center"/>
    </xf>
    <xf numFmtId="0" fontId="3" fillId="0" borderId="17" xfId="0" applyNumberFormat="1" applyFont="1" applyFill="1" applyBorder="1" applyAlignment="1">
      <alignment horizontal="center"/>
    </xf>
    <xf numFmtId="0" fontId="1" fillId="3" borderId="5" xfId="0" applyNumberFormat="1" applyFont="1" applyFill="1" applyBorder="1" applyAlignment="1">
      <alignment horizontal="center"/>
    </xf>
    <xf numFmtId="0" fontId="1" fillId="7" borderId="0" xfId="0" applyFont="1" applyFill="1"/>
    <xf numFmtId="0" fontId="1" fillId="8" borderId="0" xfId="0" applyFont="1" applyFill="1"/>
    <xf numFmtId="0" fontId="10" fillId="0" borderId="0" xfId="0" applyNumberFormat="1" applyFont="1" applyBorder="1" applyAlignment="1">
      <alignment horizontal="center"/>
    </xf>
    <xf numFmtId="0" fontId="10" fillId="0" borderId="3" xfId="0" applyNumberFormat="1" applyFont="1" applyBorder="1" applyAlignment="1">
      <alignment horizontal="center"/>
    </xf>
    <xf numFmtId="0" fontId="1" fillId="3" borderId="0" xfId="0" applyFont="1" applyFill="1"/>
    <xf numFmtId="0" fontId="1" fillId="2" borderId="17" xfId="0" applyNumberFormat="1" applyFont="1" applyFill="1" applyBorder="1" applyAlignment="1">
      <alignment horizontal="center" wrapText="1"/>
    </xf>
    <xf numFmtId="0" fontId="1" fillId="2" borderId="18" xfId="0" applyNumberFormat="1" applyFont="1" applyFill="1" applyBorder="1" applyAlignment="1">
      <alignment horizontal="center" wrapText="1"/>
    </xf>
    <xf numFmtId="0" fontId="1" fillId="4" borderId="10" xfId="0" applyNumberFormat="1" applyFont="1" applyFill="1" applyBorder="1" applyAlignment="1">
      <alignment horizontal="center"/>
    </xf>
    <xf numFmtId="0" fontId="1" fillId="0" borderId="17" xfId="0" applyNumberFormat="1" applyFont="1" applyFill="1" applyBorder="1" applyAlignment="1">
      <alignment horizontal="center"/>
    </xf>
    <xf numFmtId="0" fontId="0" fillId="0" borderId="0" xfId="0" applyBorder="1"/>
    <xf numFmtId="9" fontId="1" fillId="0" borderId="8" xfId="1" applyFont="1" applyFill="1" applyBorder="1" applyAlignment="1">
      <alignment horizontal="center"/>
    </xf>
    <xf numFmtId="14" fontId="7" fillId="0" borderId="8" xfId="0" applyNumberFormat="1" applyFont="1" applyFill="1" applyBorder="1" applyAlignment="1">
      <alignment horizontal="center"/>
    </xf>
    <xf numFmtId="0" fontId="1" fillId="2" borderId="19" xfId="0" applyNumberFormat="1" applyFont="1" applyFill="1" applyBorder="1" applyAlignment="1">
      <alignment horizontal="center" wrapText="1"/>
    </xf>
    <xf numFmtId="0" fontId="1" fillId="2" borderId="20" xfId="0" applyNumberFormat="1" applyFont="1" applyFill="1" applyBorder="1" applyAlignment="1">
      <alignment horizontal="center" wrapText="1"/>
    </xf>
    <xf numFmtId="0" fontId="1" fillId="3" borderId="5" xfId="0" applyNumberFormat="1" applyFont="1" applyFill="1" applyBorder="1" applyAlignment="1">
      <alignment horizontal="center" wrapText="1"/>
    </xf>
    <xf numFmtId="0" fontId="1" fillId="4" borderId="4" xfId="0" applyNumberFormat="1" applyFont="1" applyFill="1" applyBorder="1" applyAlignment="1">
      <alignment horizontal="center"/>
    </xf>
    <xf numFmtId="0" fontId="3" fillId="0" borderId="18" xfId="0" applyNumberFormat="1" applyFont="1" applyFill="1" applyBorder="1" applyAlignment="1">
      <alignment horizontal="center"/>
    </xf>
    <xf numFmtId="43" fontId="1" fillId="0" borderId="0" xfId="2" applyFont="1" applyFill="1" applyBorder="1" applyAlignment="1">
      <alignment horizontal="center"/>
    </xf>
    <xf numFmtId="9" fontId="1" fillId="0" borderId="0" xfId="1" applyNumberFormat="1" applyFont="1" applyFill="1" applyBorder="1" applyAlignment="1">
      <alignment horizontal="center"/>
    </xf>
    <xf numFmtId="176" fontId="1" fillId="0" borderId="0" xfId="0" applyNumberFormat="1" applyFont="1" applyFill="1" applyBorder="1" applyAlignment="1">
      <alignment horizontal="center"/>
    </xf>
    <xf numFmtId="178" fontId="1" fillId="0" borderId="0" xfId="2" applyNumberFormat="1" applyFont="1" applyFill="1" applyBorder="1" applyAlignment="1">
      <alignment horizontal="center"/>
    </xf>
    <xf numFmtId="43" fontId="1" fillId="0" borderId="17" xfId="2" applyFont="1" applyFill="1" applyBorder="1" applyAlignment="1">
      <alignment horizontal="center"/>
    </xf>
    <xf numFmtId="43" fontId="1" fillId="0" borderId="8" xfId="2" applyFont="1" applyFill="1" applyBorder="1" applyAlignment="1">
      <alignment horizontal="center"/>
    </xf>
    <xf numFmtId="0" fontId="1" fillId="9" borderId="17" xfId="0" applyNumberFormat="1" applyFont="1" applyFill="1" applyBorder="1" applyAlignment="1">
      <alignment horizontal="center" wrapText="1"/>
    </xf>
    <xf numFmtId="176" fontId="1" fillId="0" borderId="18" xfId="0" applyNumberFormat="1" applyFont="1" applyFill="1" applyBorder="1" applyAlignment="1">
      <alignment horizontal="center"/>
    </xf>
    <xf numFmtId="176" fontId="1" fillId="0" borderId="3" xfId="0" applyNumberFormat="1" applyFont="1" applyFill="1" applyBorder="1" applyAlignment="1">
      <alignment horizontal="center"/>
    </xf>
    <xf numFmtId="176" fontId="1" fillId="0" borderId="9" xfId="0" applyNumberFormat="1" applyFont="1" applyFill="1" applyBorder="1" applyAlignment="1">
      <alignment horizontal="center"/>
    </xf>
    <xf numFmtId="2" fontId="3" fillId="0" borderId="2" xfId="0" applyNumberFormat="1" applyFont="1" applyFill="1" applyBorder="1" applyAlignment="1">
      <alignment horizontal="center"/>
    </xf>
    <xf numFmtId="2" fontId="1" fillId="0" borderId="17" xfId="0" applyNumberFormat="1" applyFont="1" applyBorder="1" applyAlignment="1">
      <alignment horizontal="center"/>
    </xf>
    <xf numFmtId="0" fontId="1" fillId="2" borderId="4" xfId="0" applyNumberFormat="1" applyFont="1" applyFill="1" applyBorder="1" applyAlignment="1">
      <alignment horizontal="center"/>
    </xf>
    <xf numFmtId="0" fontId="1" fillId="2" borderId="17" xfId="0" applyNumberFormat="1" applyFont="1" applyFill="1" applyBorder="1" applyAlignment="1">
      <alignment horizontal="center"/>
    </xf>
    <xf numFmtId="0" fontId="1" fillId="2" borderId="18" xfId="0" applyNumberFormat="1" applyFont="1" applyFill="1" applyBorder="1" applyAlignment="1">
      <alignment horizontal="center"/>
    </xf>
    <xf numFmtId="2" fontId="3" fillId="0" borderId="0" xfId="0" applyNumberFormat="1" applyFont="1" applyFill="1" applyBorder="1" applyAlignment="1">
      <alignment horizontal="center"/>
    </xf>
    <xf numFmtId="2" fontId="1" fillId="0" borderId="0" xfId="0" applyNumberFormat="1" applyFont="1" applyBorder="1" applyAlignment="1">
      <alignment horizontal="center"/>
    </xf>
    <xf numFmtId="177" fontId="3" fillId="0" borderId="2" xfId="0" applyNumberFormat="1" applyFont="1" applyFill="1" applyBorder="1" applyAlignment="1">
      <alignment horizontal="center"/>
    </xf>
    <xf numFmtId="177" fontId="3" fillId="0" borderId="7" xfId="0" applyNumberFormat="1" applyFont="1" applyFill="1" applyBorder="1" applyAlignment="1">
      <alignment horizontal="center"/>
    </xf>
    <xf numFmtId="2" fontId="3" fillId="0" borderId="4" xfId="0" applyNumberFormat="1" applyFont="1" applyFill="1" applyBorder="1" applyAlignment="1">
      <alignment horizontal="center"/>
    </xf>
    <xf numFmtId="2" fontId="3" fillId="0" borderId="17" xfId="0" applyNumberFormat="1" applyFont="1" applyFill="1" applyBorder="1" applyAlignment="1">
      <alignment horizontal="center"/>
    </xf>
    <xf numFmtId="2" fontId="1" fillId="0" borderId="18" xfId="0" applyNumberFormat="1" applyFont="1" applyBorder="1" applyAlignment="1">
      <alignment horizontal="center"/>
    </xf>
    <xf numFmtId="2" fontId="1" fillId="0" borderId="3" xfId="0" applyNumberFormat="1" applyFont="1" applyBorder="1" applyAlignment="1">
      <alignment horizontal="center"/>
    </xf>
    <xf numFmtId="2" fontId="3" fillId="0" borderId="3" xfId="0" applyNumberFormat="1" applyFont="1" applyFill="1" applyBorder="1" applyAlignment="1">
      <alignment horizontal="center"/>
    </xf>
    <xf numFmtId="2" fontId="1" fillId="0" borderId="2" xfId="0" applyNumberFormat="1" applyFont="1" applyBorder="1" applyAlignment="1">
      <alignment horizontal="center"/>
    </xf>
    <xf numFmtId="2" fontId="3" fillId="0" borderId="7" xfId="0" applyNumberFormat="1" applyFont="1" applyFill="1" applyBorder="1" applyAlignment="1">
      <alignment horizontal="center"/>
    </xf>
    <xf numFmtId="2" fontId="1" fillId="0" borderId="8" xfId="0" applyNumberFormat="1" applyFont="1" applyBorder="1" applyAlignment="1">
      <alignment horizontal="center"/>
    </xf>
    <xf numFmtId="2" fontId="1" fillId="0" borderId="9" xfId="0" applyNumberFormat="1" applyFont="1" applyBorder="1" applyAlignment="1">
      <alignment horizontal="center"/>
    </xf>
    <xf numFmtId="0" fontId="10" fillId="0" borderId="0" xfId="0" applyNumberFormat="1" applyFont="1" applyFill="1" applyBorder="1" applyAlignment="1">
      <alignment horizontal="center"/>
    </xf>
    <xf numFmtId="0" fontId="10" fillId="0" borderId="2" xfId="0" applyNumberFormat="1" applyFont="1" applyFill="1" applyBorder="1" applyAlignment="1">
      <alignment horizontal="center"/>
    </xf>
    <xf numFmtId="0" fontId="1" fillId="4" borderId="17" xfId="0" applyNumberFormat="1" applyFont="1" applyFill="1" applyBorder="1" applyAlignment="1">
      <alignment horizontal="center"/>
    </xf>
    <xf numFmtId="0" fontId="1" fillId="4" borderId="0" xfId="0" applyNumberFormat="1" applyFont="1" applyFill="1" applyBorder="1" applyAlignment="1">
      <alignment horizontal="center"/>
    </xf>
    <xf numFmtId="0" fontId="1" fillId="2" borderId="0" xfId="0" applyNumberFormat="1" applyFont="1" applyFill="1" applyBorder="1" applyAlignment="1">
      <alignment horizontal="center"/>
    </xf>
    <xf numFmtId="0" fontId="1" fillId="5" borderId="0" xfId="0" applyNumberFormat="1" applyFont="1" applyFill="1" applyBorder="1" applyAlignment="1">
      <alignment horizontal="center"/>
    </xf>
    <xf numFmtId="0" fontId="1" fillId="6" borderId="0" xfId="0" applyNumberFormat="1" applyFont="1" applyFill="1" applyBorder="1" applyAlignment="1">
      <alignment horizontal="center"/>
    </xf>
    <xf numFmtId="0" fontId="1" fillId="6" borderId="8" xfId="0" applyNumberFormat="1" applyFont="1" applyFill="1" applyBorder="1" applyAlignment="1">
      <alignment horizontal="center"/>
    </xf>
    <xf numFmtId="0" fontId="1" fillId="3" borderId="17" xfId="0" applyNumberFormat="1" applyFont="1" applyFill="1" applyBorder="1" applyAlignment="1">
      <alignment horizontal="center" wrapText="1"/>
    </xf>
    <xf numFmtId="9" fontId="1" fillId="3" borderId="18" xfId="0" applyNumberFormat="1" applyFont="1" applyFill="1" applyBorder="1" applyAlignment="1">
      <alignment horizontal="center"/>
    </xf>
    <xf numFmtId="177" fontId="1" fillId="0" borderId="11" xfId="0" applyNumberFormat="1" applyFont="1" applyBorder="1" applyAlignment="1">
      <alignment horizontal="center"/>
    </xf>
    <xf numFmtId="177" fontId="1" fillId="0" borderId="12" xfId="0" applyNumberFormat="1" applyFont="1" applyBorder="1" applyAlignment="1">
      <alignment horizontal="center"/>
    </xf>
    <xf numFmtId="0" fontId="1" fillId="2" borderId="5" xfId="0" applyNumberFormat="1" applyFont="1" applyFill="1" applyBorder="1" applyAlignment="1">
      <alignment horizontal="center"/>
    </xf>
    <xf numFmtId="0" fontId="1" fillId="2" borderId="13" xfId="0" applyNumberFormat="1" applyFont="1" applyFill="1" applyBorder="1" applyAlignment="1">
      <alignment horizontal="left"/>
    </xf>
    <xf numFmtId="0" fontId="1" fillId="2" borderId="13" xfId="0" applyNumberFormat="1" applyFont="1" applyFill="1" applyBorder="1" applyAlignment="1">
      <alignment horizontal="center"/>
    </xf>
    <xf numFmtId="0" fontId="1" fillId="2" borderId="22" xfId="0" applyNumberFormat="1" applyFont="1" applyFill="1" applyBorder="1" applyAlignment="1">
      <alignment horizontal="center"/>
    </xf>
    <xf numFmtId="9" fontId="1" fillId="2" borderId="21" xfId="0" applyNumberFormat="1" applyFont="1" applyFill="1" applyBorder="1" applyAlignment="1">
      <alignment horizontal="center"/>
    </xf>
  </cellXfs>
  <cellStyles count="3">
    <cellStyle name="百分比" xfId="1" builtinId="5"/>
    <cellStyle name="常规" xfId="0" builtinId="0"/>
    <cellStyle name="千位分隔" xfId="2" builtinId="3"/>
  </cellStyles>
  <dxfs count="525"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92D050"/>
        </patternFill>
      </fill>
    </dxf>
    <dxf>
      <fill>
        <patternFill>
          <bgColor rgb="FFFF6600"/>
        </patternFill>
      </fill>
    </dxf>
    <dxf>
      <fill>
        <patternFill>
          <bgColor rgb="FF92D050"/>
        </patternFill>
      </fill>
    </dxf>
    <dxf>
      <fill>
        <patternFill>
          <bgColor rgb="FFFF6600"/>
        </patternFill>
      </fill>
    </dxf>
    <dxf>
      <fill>
        <patternFill>
          <bgColor rgb="FF92D050"/>
        </patternFill>
      </fill>
    </dxf>
    <dxf>
      <fill>
        <patternFill>
          <bgColor rgb="FFFF6600"/>
        </patternFill>
      </fill>
    </dxf>
    <dxf>
      <fill>
        <patternFill>
          <bgColor rgb="FF92D050"/>
        </patternFill>
      </fill>
    </dxf>
    <dxf>
      <fill>
        <patternFill>
          <bgColor rgb="FFFF6600"/>
        </patternFill>
      </fill>
    </dxf>
    <dxf>
      <fill>
        <patternFill>
          <bgColor rgb="FF92D050"/>
        </patternFill>
      </fill>
    </dxf>
    <dxf>
      <fill>
        <patternFill>
          <bgColor rgb="FFFF6600"/>
        </patternFill>
      </fill>
    </dxf>
    <dxf>
      <fill>
        <patternFill>
          <bgColor rgb="FF92D050"/>
        </patternFill>
      </fill>
    </dxf>
    <dxf>
      <fill>
        <patternFill>
          <bgColor rgb="FFFF6600"/>
        </patternFill>
      </fill>
    </dxf>
    <dxf>
      <fill>
        <patternFill>
          <bgColor rgb="FF92D050"/>
        </patternFill>
      </fill>
    </dxf>
    <dxf>
      <fill>
        <patternFill>
          <bgColor rgb="FFFF6600"/>
        </patternFill>
      </fill>
    </dxf>
    <dxf>
      <fill>
        <patternFill>
          <bgColor rgb="FF92D050"/>
        </patternFill>
      </fill>
    </dxf>
    <dxf>
      <fill>
        <patternFill>
          <bgColor rgb="FFFF6600"/>
        </patternFill>
      </fill>
    </dxf>
    <dxf>
      <fill>
        <patternFill>
          <bgColor rgb="FF92D050"/>
        </patternFill>
      </fill>
    </dxf>
    <dxf>
      <fill>
        <patternFill>
          <bgColor rgb="FFFF6600"/>
        </patternFill>
      </fill>
    </dxf>
    <dxf>
      <fill>
        <patternFill>
          <bgColor rgb="FF92D050"/>
        </patternFill>
      </fill>
    </dxf>
    <dxf>
      <fill>
        <patternFill>
          <bgColor rgb="FFFF6600"/>
        </patternFill>
      </fill>
    </dxf>
    <dxf>
      <fill>
        <patternFill>
          <bgColor rgb="FF92D050"/>
        </patternFill>
      </fill>
    </dxf>
    <dxf>
      <fill>
        <patternFill>
          <bgColor rgb="FFFF6600"/>
        </patternFill>
      </fill>
    </dxf>
    <dxf>
      <fill>
        <patternFill>
          <bgColor rgb="FF92D050"/>
        </patternFill>
      </fill>
    </dxf>
    <dxf>
      <fill>
        <patternFill>
          <bgColor rgb="FFFF6600"/>
        </patternFill>
      </fill>
    </dxf>
    <dxf>
      <fill>
        <patternFill>
          <bgColor rgb="FF92D050"/>
        </patternFill>
      </fill>
    </dxf>
    <dxf>
      <fill>
        <patternFill>
          <bgColor rgb="FFFF6600"/>
        </patternFill>
      </fill>
    </dxf>
    <dxf>
      <fill>
        <patternFill>
          <bgColor rgb="FF92D050"/>
        </patternFill>
      </fill>
    </dxf>
    <dxf>
      <fill>
        <patternFill>
          <bgColor rgb="FFFF6600"/>
        </patternFill>
      </fill>
    </dxf>
    <dxf>
      <fill>
        <patternFill>
          <bgColor rgb="FF92D050"/>
        </patternFill>
      </fill>
    </dxf>
    <dxf>
      <fill>
        <patternFill>
          <bgColor rgb="FFFF6600"/>
        </patternFill>
      </fill>
    </dxf>
    <dxf>
      <fill>
        <patternFill>
          <bgColor rgb="FF92D050"/>
        </patternFill>
      </fill>
    </dxf>
    <dxf>
      <fill>
        <patternFill>
          <bgColor rgb="FFFF6600"/>
        </patternFill>
      </fill>
    </dxf>
    <dxf>
      <fill>
        <patternFill>
          <bgColor rgb="FF92D050"/>
        </patternFill>
      </fill>
    </dxf>
    <dxf>
      <fill>
        <patternFill>
          <bgColor rgb="FFFF6600"/>
        </patternFill>
      </fill>
    </dxf>
    <dxf>
      <fill>
        <patternFill>
          <bgColor rgb="FF92D050"/>
        </patternFill>
      </fill>
    </dxf>
    <dxf>
      <fill>
        <patternFill>
          <bgColor rgb="FFFF6600"/>
        </patternFill>
      </fill>
    </dxf>
    <dxf>
      <fill>
        <patternFill>
          <bgColor rgb="FF92D050"/>
        </patternFill>
      </fill>
    </dxf>
    <dxf>
      <fill>
        <patternFill>
          <bgColor rgb="FFFF6600"/>
        </patternFill>
      </fill>
    </dxf>
    <dxf>
      <fill>
        <patternFill>
          <bgColor rgb="FF92D050"/>
        </patternFill>
      </fill>
    </dxf>
    <dxf>
      <fill>
        <patternFill>
          <bgColor rgb="FFFF66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66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Medium9"/>
  <colors>
    <mruColors>
      <color rgb="FFFF9999"/>
      <color rgb="FFFF6600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wdf.rtq">
      <tp t="e">
        <v>#N/A</v>
        <stp/>
        <stp>SR12M.CZC</stp>
        <stp>rt_latest</stp>
        <stp>RT_Price</stp>
        <tr r="M46" s="1"/>
      </tp>
      <tp>
        <v>5935</v>
        <stp/>
        <stp>SR11M.CZC</stp>
        <stp>rt_latest</stp>
        <stp>RT_Price</stp>
        <tr r="L46" s="1"/>
      </tp>
      <tp t="e">
        <v>#N/A</v>
        <stp/>
        <stp>SR10M.CZC</stp>
        <stp>rt_latest</stp>
        <stp>RT_Price</stp>
        <tr r="K46" s="1"/>
      </tp>
      <tp>
        <v>5946</v>
        <stp/>
        <stp>SR09M.CZC</stp>
        <stp>rt_latest</stp>
        <stp>RT_Price</stp>
        <tr r="J46" s="1"/>
      </tp>
      <tp t="e">
        <v>#N/A</v>
        <stp/>
        <stp>SR08M.CZC</stp>
        <stp>rt_latest</stp>
        <stp>RT_Price</stp>
        <tr r="I46" s="1"/>
      </tp>
      <tp>
        <v>5909</v>
        <stp/>
        <stp>SR03M.CZC</stp>
        <stp>rt_latest</stp>
        <stp>RT_Price</stp>
        <tr r="D46" s="1"/>
      </tp>
      <tp t="e">
        <v>#N/A</v>
        <stp/>
        <stp>SR02M.CZC</stp>
        <stp>rt_latest</stp>
        <stp>RT_Price</stp>
        <tr r="C46" s="1"/>
      </tp>
      <tp>
        <v>5941</v>
        <stp/>
        <stp>SR01M.CZC</stp>
        <stp>rt_latest</stp>
        <stp>RT_Price</stp>
        <tr r="B46" s="1"/>
      </tp>
      <tp>
        <v>5944</v>
        <stp/>
        <stp>SR07M.CZC</stp>
        <stp>rt_latest</stp>
        <stp>RT_Price</stp>
        <tr r="H46" s="1"/>
      </tp>
      <tp t="e">
        <v>#N/A</v>
        <stp/>
        <stp>SR06M.CZC</stp>
        <stp>rt_latest</stp>
        <stp>RT_Price</stp>
        <tr r="G46" s="1"/>
      </tp>
      <tp>
        <v>5933</v>
        <stp/>
        <stp>SR05M.CZC</stp>
        <stp>rt_latest</stp>
        <stp>RT_Price</stp>
        <tr r="F46" s="1"/>
      </tp>
      <tp t="e">
        <v>#N/A</v>
        <stp/>
        <stp>SR04M.CZC</stp>
        <stp>rt_latest</stp>
        <stp>RT_Price</stp>
        <tr r="E46" s="1"/>
      </tp>
      <tp t="e">
        <v>#N/A</v>
        <stp/>
        <stp>CS02M.DCE</stp>
        <stp>rt_latest</stp>
        <stp>RT_Price</stp>
        <tr r="C44" s="1"/>
      </tp>
      <tp>
        <v>2870</v>
        <stp/>
        <stp>CS03M.DCE</stp>
        <stp>rt_latest</stp>
        <stp>RT_Price</stp>
        <tr r="D44" s="1"/>
      </tp>
      <tp>
        <v>3064</v>
        <stp/>
        <stp>CS01M.DCE</stp>
        <stp>rt_latest</stp>
        <stp>RT_Price</stp>
        <tr r="B44" s="1"/>
      </tp>
      <tp t="e">
        <v>#N/A</v>
        <stp/>
        <stp>CS06M.DCE</stp>
        <stp>rt_latest</stp>
        <stp>RT_Price</stp>
        <tr r="G44" s="1"/>
      </tp>
      <tp>
        <v>3004</v>
        <stp/>
        <stp>CS07M.DCE</stp>
        <stp>rt_latest</stp>
        <stp>RT_Price</stp>
        <tr r="H44" s="1"/>
      </tp>
      <tp t="e">
        <v>#N/A</v>
        <stp/>
        <stp>CS04M.DCE</stp>
        <stp>rt_latest</stp>
        <stp>RT_Price</stp>
        <tr r="E44" s="1"/>
      </tp>
      <tp>
        <v>2992</v>
        <stp/>
        <stp>CS05M.DCE</stp>
        <stp>rt_latest</stp>
        <stp>RT_Price</stp>
        <tr r="F44" s="1"/>
      </tp>
      <tp t="e">
        <v>#N/A</v>
        <stp/>
        <stp>CS08M.DCE</stp>
        <stp>rt_latest</stp>
        <stp>RT_Price</stp>
        <tr r="I44" s="1"/>
      </tp>
      <tp>
        <v>3075</v>
        <stp/>
        <stp>CS09M.DCE</stp>
        <stp>rt_latest</stp>
        <stp>RT_Price</stp>
        <tr r="J44" s="1"/>
      </tp>
      <tp t="e">
        <v>#N/A</v>
        <stp/>
        <stp>CS12M.DCE</stp>
        <stp>rt_latest</stp>
        <stp>RT_Price</stp>
        <tr r="M44" s="1"/>
      </tp>
      <tp t="e">
        <v>#N/A</v>
        <stp/>
        <stp>CS10M.DCE</stp>
        <stp>rt_latest</stp>
        <stp>RT_Price</stp>
        <tr r="K44" s="1"/>
      </tp>
      <tp>
        <v>3061</v>
        <stp/>
        <stp>CS11M.DCE</stp>
        <stp>rt_latest</stp>
        <stp>RT_Price</stp>
        <tr r="L44" s="1"/>
      </tp>
      <tp>
        <v>0</v>
        <stp/>
        <stp>AU11M.SHF</stp>
        <stp>rt_latest</stp>
        <stp>RT_Price</stp>
        <tr r="L37" s="1"/>
      </tp>
      <tp>
        <v>67790</v>
        <stp/>
        <stp>CU11M.SHF</stp>
        <stp>rt_latest</stp>
        <stp>RT_Price</stp>
        <tr r="L28" s="1"/>
      </tp>
      <tp>
        <v>2744</v>
        <stp/>
        <stp>FU11M.SHF</stp>
        <stp>rt_latest</stp>
        <stp>RT_Price</stp>
        <tr r="L36" s="1"/>
      </tp>
      <tp>
        <v>12665</v>
        <stp/>
        <stp>RU11M.SHF</stp>
        <stp>rt_latest</stp>
        <stp>RT_Price</stp>
        <tr r="L38" s="1"/>
      </tp>
      <tp>
        <v>414.84000000000003</v>
        <stp/>
        <stp>AU10M.SHF</stp>
        <stp>rt_latest</stp>
        <stp>RT_Price</stp>
        <tr r="K37" s="1"/>
      </tp>
      <tp>
        <v>67860</v>
        <stp/>
        <stp>CU10M.SHF</stp>
        <stp>rt_latest</stp>
        <stp>RT_Price</stp>
        <tr r="K28" s="1"/>
      </tp>
      <tp>
        <v>2747</v>
        <stp/>
        <stp>FU10M.SHF</stp>
        <stp>rt_latest</stp>
        <stp>RT_Price</stp>
        <tr r="K36" s="1"/>
      </tp>
      <tp>
        <v>12655</v>
        <stp/>
        <stp>RU10M.SHF</stp>
        <stp>rt_latest</stp>
        <stp>RT_Price</stp>
        <tr r="K38" s="1"/>
      </tp>
      <tp>
        <v>415.62</v>
        <stp/>
        <stp>AU12M.SHF</stp>
        <stp>rt_latest</stp>
        <stp>RT_Price</stp>
        <tr r="M37" s="1"/>
      </tp>
      <tp>
        <v>67370</v>
        <stp/>
        <stp>CU12M.SHF</stp>
        <stp>rt_latest</stp>
        <stp>RT_Price</stp>
        <tr r="M28" s="1"/>
      </tp>
      <tp>
        <v>2751</v>
        <stp/>
        <stp>FU12M.SHF</stp>
        <stp>rt_latest</stp>
        <stp>RT_Price</stp>
        <tr r="M36" s="1"/>
      </tp>
      <tp>
        <v>0</v>
        <stp/>
        <stp>RU12M.SHF</stp>
        <stp>rt_latest</stp>
        <stp>RT_Price</stp>
        <tr r="M38" s="1"/>
      </tp>
      <tp>
        <v>0</v>
        <stp/>
        <stp>AU09M.SHF</stp>
        <stp>rt_latest</stp>
        <stp>RT_Price</stp>
        <tr r="J37" s="1"/>
      </tp>
      <tp>
        <v>67900</v>
        <stp/>
        <stp>CU09M.SHF</stp>
        <stp>rt_latest</stp>
        <stp>RT_Price</stp>
        <tr r="J28" s="1"/>
      </tp>
      <tp>
        <v>2738</v>
        <stp/>
        <stp>FU09M.SHF</stp>
        <stp>rt_latest</stp>
        <stp>RT_Price</stp>
        <tr r="J36" s="1"/>
      </tp>
      <tp>
        <v>12625</v>
        <stp/>
        <stp>RU09M.SHF</stp>
        <stp>rt_latest</stp>
        <stp>RT_Price</stp>
        <tr r="J38" s="1"/>
      </tp>
      <tp>
        <v>414.16</v>
        <stp/>
        <stp>AU08M.SHF</stp>
        <stp>rt_latest</stp>
        <stp>RT_Price</stp>
        <tr r="I37" s="1"/>
      </tp>
      <tp>
        <v>67930</v>
        <stp/>
        <stp>CU08M.SHF</stp>
        <stp>rt_latest</stp>
        <stp>RT_Price</stp>
        <tr r="I28" s="1"/>
      </tp>
      <tp>
        <v>2740</v>
        <stp/>
        <stp>FU08M.SHF</stp>
        <stp>rt_latest</stp>
        <stp>RT_Price</stp>
        <tr r="I36" s="1"/>
      </tp>
      <tp>
        <v>12630</v>
        <stp/>
        <stp>RU08M.SHF</stp>
        <stp>rt_latest</stp>
        <stp>RT_Price</stp>
        <tr r="I38" s="1"/>
      </tp>
      <tp>
        <v>0</v>
        <stp/>
        <stp>AU01M.SHF</stp>
        <stp>rt_latest</stp>
        <stp>RT_Price</stp>
        <tr r="B37" s="1"/>
      </tp>
      <tp>
        <v>67590</v>
        <stp/>
        <stp>CU01M.SHF</stp>
        <stp>rt_latest</stp>
        <stp>RT_Price</stp>
        <tr r="B28" s="1"/>
      </tp>
      <tp>
        <v>2759</v>
        <stp/>
        <stp>FU01M.SHF</stp>
        <stp>rt_latest</stp>
        <stp>RT_Price</stp>
        <tr r="B36" s="1"/>
      </tp>
      <tp>
        <v>13570</v>
        <stp/>
        <stp>RU01M.SHF</stp>
        <stp>rt_latest</stp>
        <stp>RT_Price</stp>
        <tr r="B38" s="1"/>
      </tp>
      <tp>
        <v>412.06</v>
        <stp/>
        <stp>AU03M.SHF</stp>
        <stp>rt_latest</stp>
        <stp>RT_Price</stp>
        <tr r="D37" s="1"/>
      </tp>
      <tp>
        <v>68270</v>
        <stp/>
        <stp>CU03M.SHF</stp>
        <stp>rt_latest</stp>
        <stp>RT_Price</stp>
        <tr r="D28" s="1"/>
      </tp>
      <tp>
        <v>2692</v>
        <stp/>
        <stp>FU03M.SHF</stp>
        <stp>rt_latest</stp>
        <stp>RT_Price</stp>
        <tr r="D36" s="1"/>
      </tp>
      <tp>
        <v>12500</v>
        <stp/>
        <stp>RU03M.SHF</stp>
        <stp>rt_latest</stp>
        <stp>RT_Price</stp>
        <tr r="D38" s="1"/>
      </tp>
      <tp>
        <v>411.48</v>
        <stp/>
        <stp>AU02M.SHF</stp>
        <stp>rt_latest</stp>
        <stp>RT_Price</stp>
        <tr r="C37" s="1"/>
      </tp>
      <tp>
        <v>68130</v>
        <stp/>
        <stp>CU02M.SHF</stp>
        <stp>rt_latest</stp>
        <stp>RT_Price</stp>
        <tr r="C28" s="1"/>
      </tp>
      <tp>
        <v>2732</v>
        <stp/>
        <stp>FU02M.SHF</stp>
        <stp>rt_latest</stp>
        <stp>RT_Price</stp>
        <tr r="C36" s="1"/>
      </tp>
      <tp>
        <v>0</v>
        <stp/>
        <stp>RU02M.SHF</stp>
        <stp>rt_latest</stp>
        <stp>RT_Price</stp>
        <tr r="C38" s="1"/>
      </tp>
      <tp>
        <v>0</v>
        <stp/>
        <stp>AU05M.SHF</stp>
        <stp>rt_latest</stp>
        <stp>RT_Price</stp>
        <tr r="F37" s="1"/>
      </tp>
      <tp>
        <v>68260</v>
        <stp/>
        <stp>CU05M.SHF</stp>
        <stp>rt_latest</stp>
        <stp>RT_Price</stp>
        <tr r="F28" s="1"/>
      </tp>
      <tp>
        <v>2734</v>
        <stp/>
        <stp>FU05M.SHF</stp>
        <stp>rt_latest</stp>
        <stp>RT_Price</stp>
        <tr r="F36" s="1"/>
      </tp>
      <tp>
        <v>12665</v>
        <stp/>
        <stp>RU05M.SHF</stp>
        <stp>rt_latest</stp>
        <stp>RT_Price</stp>
        <tr r="F38" s="1"/>
      </tp>
      <tp>
        <v>412.66</v>
        <stp/>
        <stp>AU04M.SHF</stp>
        <stp>rt_latest</stp>
        <stp>RT_Price</stp>
        <tr r="E37" s="1"/>
      </tp>
      <tp>
        <v>68310</v>
        <stp/>
        <stp>CU04M.SHF</stp>
        <stp>rt_latest</stp>
        <stp>RT_Price</stp>
        <tr r="E28" s="1"/>
      </tp>
      <tp>
        <v>2721</v>
        <stp/>
        <stp>FU04M.SHF</stp>
        <stp>rt_latest</stp>
        <stp>RT_Price</stp>
        <tr r="E36" s="1"/>
      </tp>
      <tp>
        <v>12595</v>
        <stp/>
        <stp>RU04M.SHF</stp>
        <stp>rt_latest</stp>
        <stp>RT_Price</stp>
        <tr r="E38" s="1"/>
      </tp>
      <tp>
        <v>0</v>
        <stp/>
        <stp>AU07M.SHF</stp>
        <stp>rt_latest</stp>
        <stp>RT_Price</stp>
        <tr r="H37" s="1"/>
      </tp>
      <tp>
        <v>68030</v>
        <stp/>
        <stp>CU07M.SHF</stp>
        <stp>rt_latest</stp>
        <stp>RT_Price</stp>
        <tr r="H28" s="1"/>
      </tp>
      <tp>
        <v>2747</v>
        <stp/>
        <stp>FU07M.SHF</stp>
        <stp>rt_latest</stp>
        <stp>RT_Price</stp>
        <tr r="H36" s="1"/>
      </tp>
      <tp>
        <v>12620</v>
        <stp/>
        <stp>RU07M.SHF</stp>
        <stp>rt_latest</stp>
        <stp>RT_Price</stp>
        <tr r="H38" s="1"/>
      </tp>
      <tp>
        <v>413.38</v>
        <stp/>
        <stp>AU06M.SHF</stp>
        <stp>rt_latest</stp>
        <stp>RT_Price</stp>
        <tr r="G37" s="1"/>
      </tp>
      <tp>
        <v>68150</v>
        <stp/>
        <stp>CU06M.SHF</stp>
        <stp>rt_latest</stp>
        <stp>RT_Price</stp>
        <tr r="G28" s="1"/>
      </tp>
      <tp>
        <v>2749</v>
        <stp/>
        <stp>FU06M.SHF</stp>
        <stp>rt_latest</stp>
        <stp>RT_Price</stp>
        <tr r="G36" s="1"/>
      </tp>
      <tp>
        <v>12635</v>
        <stp/>
        <stp>RU06M.SHF</stp>
        <stp>rt_latest</stp>
        <stp>RT_Price</stp>
        <tr r="G38" s="1"/>
      </tp>
      <tp>
        <v>15390</v>
        <stp/>
        <stp>PB11M.SHF</stp>
        <stp>rt_latest</stp>
        <stp>RT_Price</stp>
        <tr r="L31" s="1"/>
      </tp>
      <tp>
        <v>4015</v>
        <stp/>
        <stp>RB11M.SHF</stp>
        <stp>rt_latest</stp>
        <stp>RT_Price</stp>
        <tr r="L34" s="1"/>
      </tp>
      <tp>
        <v>15445</v>
        <stp/>
        <stp>PB10M.SHF</stp>
        <stp>rt_latest</stp>
        <stp>RT_Price</stp>
        <tr r="K31" s="1"/>
      </tp>
      <tp>
        <v>4022</v>
        <stp/>
        <stp>RB10M.SHF</stp>
        <stp>rt_latest</stp>
        <stp>RT_Price</stp>
        <tr r="K34" s="1"/>
      </tp>
      <tp>
        <v>15365</v>
        <stp/>
        <stp>PB12M.SHF</stp>
        <stp>rt_latest</stp>
        <stp>RT_Price</stp>
        <tr r="M31" s="1"/>
      </tp>
      <tp>
        <v>4013</v>
        <stp/>
        <stp>RB12M.SHF</stp>
        <stp>rt_latest</stp>
        <stp>RT_Price</stp>
        <tr r="M34" s="1"/>
      </tp>
      <tp>
        <v>15365</v>
        <stp/>
        <stp>PB09M.SHF</stp>
        <stp>rt_latest</stp>
        <stp>RT_Price</stp>
        <tr r="J31" s="1"/>
      </tp>
      <tp>
        <v>4038</v>
        <stp/>
        <stp>RB09M.SHF</stp>
        <stp>rt_latest</stp>
        <stp>RT_Price</stp>
        <tr r="J34" s="1"/>
      </tp>
      <tp>
        <v>15300</v>
        <stp/>
        <stp>PB08M.SHF</stp>
        <stp>rt_latest</stp>
        <stp>RT_Price</stp>
        <tr r="I31" s="1"/>
      </tp>
      <tp>
        <v>4040</v>
        <stp/>
        <stp>RB08M.SHF</stp>
        <stp>rt_latest</stp>
        <stp>RT_Price</stp>
        <tr r="I34" s="1"/>
      </tp>
      <tp>
        <v>15470</v>
        <stp/>
        <stp>PB01M.SHF</stp>
        <stp>rt_latest</stp>
        <stp>RT_Price</stp>
        <tr r="B31" s="1"/>
      </tp>
      <tp>
        <v>3964</v>
        <stp/>
        <stp>RB01M.SHF</stp>
        <stp>rt_latest</stp>
        <stp>RT_Price</stp>
        <tr r="B34" s="1"/>
      </tp>
      <tp>
        <v>15245</v>
        <stp/>
        <stp>PB03M.SHF</stp>
        <stp>rt_latest</stp>
        <stp>RT_Price</stp>
        <tr r="D31" s="1"/>
      </tp>
      <tp>
        <v>4020</v>
        <stp/>
        <stp>RB03M.SHF</stp>
        <stp>rt_latest</stp>
        <stp>RT_Price</stp>
        <tr r="D34" s="1"/>
      </tp>
      <tp>
        <v>15180</v>
        <stp/>
        <stp>PB02M.SHF</stp>
        <stp>rt_latest</stp>
        <stp>RT_Price</stp>
        <tr r="C31" s="1"/>
      </tp>
      <tp>
        <v>3970</v>
        <stp/>
        <stp>RB02M.SHF</stp>
        <stp>rt_latest</stp>
        <stp>RT_Price</stp>
        <tr r="C34" s="1"/>
      </tp>
      <tp>
        <v>15285</v>
        <stp/>
        <stp>PB05M.SHF</stp>
        <stp>rt_latest</stp>
        <stp>RT_Price</stp>
        <tr r="F31" s="1"/>
      </tp>
      <tp>
        <v>4057</v>
        <stp/>
        <stp>RB05M.SHF</stp>
        <stp>rt_latest</stp>
        <stp>RT_Price</stp>
        <tr r="F34" s="1"/>
      </tp>
      <tp>
        <v>15270</v>
        <stp/>
        <stp>PB04M.SHF</stp>
        <stp>rt_latest</stp>
        <stp>RT_Price</stp>
        <tr r="E31" s="1"/>
      </tp>
      <tp>
        <v>4039</v>
        <stp/>
        <stp>RB04M.SHF</stp>
        <stp>rt_latest</stp>
        <stp>RT_Price</stp>
        <tr r="E34" s="1"/>
      </tp>
      <tp>
        <v>15280</v>
        <stp/>
        <stp>PB07M.SHF</stp>
        <stp>rt_latest</stp>
        <stp>RT_Price</stp>
        <tr r="H31" s="1"/>
      </tp>
      <tp>
        <v>4036</v>
        <stp/>
        <stp>RB07M.SHF</stp>
        <stp>rt_latest</stp>
        <stp>RT_Price</stp>
        <tr r="H34" s="1"/>
      </tp>
      <tp>
        <v>15300</v>
        <stp/>
        <stp>PB06M.SHF</stp>
        <stp>rt_latest</stp>
        <stp>RT_Price</stp>
        <tr r="G31" s="1"/>
      </tp>
      <tp>
        <v>4034</v>
        <stp/>
        <stp>RB06M.SHF</stp>
        <stp>rt_latest</stp>
        <stp>RT_Price</stp>
        <tr r="G34" s="1"/>
      </tp>
      <tp>
        <v>60930</v>
        <stp/>
        <stp>BC12M.INE</stp>
        <stp>rt_latest</stp>
        <stp>RT_Price</stp>
        <tr r="M27" s="1"/>
      </tp>
      <tp>
        <v>526.70000000000005</v>
        <stp/>
        <stp>SC12M.INE</stp>
        <stp>rt_latest</stp>
        <stp>RT_Price</stp>
        <tr r="M26" s="1"/>
      </tp>
      <tp>
        <v>59690</v>
        <stp/>
        <stp>BC11M.INE</stp>
        <stp>rt_latest</stp>
        <stp>RT_Price</stp>
        <tr r="L27" s="1"/>
      </tp>
      <tp>
        <v>539.79999999999995</v>
        <stp/>
        <stp>SC11M.INE</stp>
        <stp>rt_latest</stp>
        <stp>RT_Price</stp>
        <tr r="L26" s="1"/>
      </tp>
      <tp>
        <v>59860</v>
        <stp/>
        <stp>BC10M.INE</stp>
        <stp>rt_latest</stp>
        <stp>RT_Price</stp>
        <tr r="K27" s="1"/>
      </tp>
      <tp>
        <v>557.30000000000007</v>
        <stp/>
        <stp>SC10M.INE</stp>
        <stp>rt_latest</stp>
        <stp>RT_Price</stp>
        <tr r="K26" s="1"/>
      </tp>
      <tp>
        <v>60400</v>
        <stp/>
        <stp>BC09M.INE</stp>
        <stp>rt_latest</stp>
        <stp>RT_Price</stp>
        <tr r="J27" s="1"/>
      </tp>
      <tp>
        <v>547.6</v>
        <stp/>
        <stp>SC09M.INE</stp>
        <stp>rt_latest</stp>
        <stp>RT_Price</stp>
        <tr r="J26" s="1"/>
      </tp>
      <tp>
        <v>61270</v>
        <stp/>
        <stp>BC08M.INE</stp>
        <stp>rt_latest</stp>
        <stp>RT_Price</stp>
        <tr r="I27" s="1"/>
      </tp>
      <tp>
        <v>549</v>
        <stp/>
        <stp>SC08M.INE</stp>
        <stp>rt_latest</stp>
        <stp>RT_Price</stp>
        <tr r="I26" s="1"/>
      </tp>
      <tp>
        <v>61010</v>
        <stp/>
        <stp>BC07M.INE</stp>
        <stp>rt_latest</stp>
        <stp>RT_Price</stp>
        <tr r="H27" s="1"/>
      </tp>
      <tp>
        <v>550.70000000000005</v>
        <stp/>
        <stp>SC07M.INE</stp>
        <stp>rt_latest</stp>
        <stp>RT_Price</stp>
        <tr r="H26" s="1"/>
      </tp>
      <tp>
        <v>60810</v>
        <stp/>
        <stp>BC06M.INE</stp>
        <stp>rt_latest</stp>
        <stp>RT_Price</stp>
        <tr r="G27" s="1"/>
      </tp>
      <tp>
        <v>551</v>
        <stp/>
        <stp>SC06M.INE</stp>
        <stp>rt_latest</stp>
        <stp>RT_Price</stp>
        <tr r="G26" s="1"/>
      </tp>
      <tp>
        <v>60910</v>
        <stp/>
        <stp>BC05M.INE</stp>
        <stp>rt_latest</stp>
        <stp>RT_Price</stp>
        <tr r="F27" s="1"/>
      </tp>
      <tp>
        <v>552.5</v>
        <stp/>
        <stp>SC05M.INE</stp>
        <stp>rt_latest</stp>
        <stp>RT_Price</stp>
        <tr r="F26" s="1"/>
      </tp>
      <tp>
        <v>60930</v>
        <stp/>
        <stp>BC04M.INE</stp>
        <stp>rt_latest</stp>
        <stp>RT_Price</stp>
        <tr r="E27" s="1"/>
      </tp>
      <tp>
        <v>551.9</v>
        <stp/>
        <stp>SC04M.INE</stp>
        <stp>rt_latest</stp>
        <stp>RT_Price</stp>
        <tr r="E26" s="1"/>
      </tp>
      <tp>
        <v>60760</v>
        <stp/>
        <stp>BC03M.INE</stp>
        <stp>rt_latest</stp>
        <stp>RT_Price</stp>
        <tr r="D27" s="1"/>
      </tp>
      <tp>
        <v>553.70000000000005</v>
        <stp/>
        <stp>SC03M.INE</stp>
        <stp>rt_latest</stp>
        <stp>RT_Price</stp>
        <tr r="D26" s="1"/>
      </tp>
      <tp>
        <v>61430</v>
        <stp/>
        <stp>BC02M.INE</stp>
        <stp>rt_latest</stp>
        <stp>RT_Price</stp>
        <tr r="C27" s="1"/>
      </tp>
      <tp>
        <v>544.4</v>
        <stp/>
        <stp>SC02M.INE</stp>
        <stp>rt_latest</stp>
        <stp>RT_Price</stp>
        <tr r="C26" s="1"/>
      </tp>
      <tp>
        <v>58720</v>
        <stp/>
        <stp>BC01M.INE</stp>
        <stp>rt_latest</stp>
        <stp>RT_Price</stp>
        <tr r="B27" s="1"/>
      </tp>
      <tp>
        <v>530</v>
        <stp/>
        <stp>SC01M.INE</stp>
        <stp>rt_latest</stp>
        <stp>RT_Price</stp>
        <tr r="B26" s="1"/>
      </tp>
      <tp>
        <v>4054</v>
        <stp/>
        <stp>HC11M.SHF</stp>
        <stp>rt_latest</stp>
        <stp>RT_Price</stp>
        <tr r="L35" s="1"/>
      </tp>
      <tp>
        <v>4082</v>
        <stp/>
        <stp>HC10M.SHF</stp>
        <stp>rt_latest</stp>
        <stp>RT_Price</stp>
        <tr r="K35" s="1"/>
      </tp>
      <tp>
        <v>4049</v>
        <stp/>
        <stp>HC12M.SHF</stp>
        <stp>rt_latest</stp>
        <stp>RT_Price</stp>
        <tr r="M35" s="1"/>
      </tp>
      <tp>
        <v>4107</v>
        <stp/>
        <stp>HC09M.SHF</stp>
        <stp>rt_latest</stp>
        <stp>RT_Price</stp>
        <tr r="J35" s="1"/>
      </tp>
      <tp>
        <v>4104</v>
        <stp/>
        <stp>HC08M.SHF</stp>
        <stp>rt_latest</stp>
        <stp>RT_Price</stp>
        <tr r="I35" s="1"/>
      </tp>
      <tp>
        <v>4022</v>
        <stp/>
        <stp>HC01M.SHF</stp>
        <stp>rt_latest</stp>
        <stp>RT_Price</stp>
        <tr r="B35" s="1"/>
      </tp>
      <tp>
        <v>4165</v>
        <stp/>
        <stp>HC03M.SHF</stp>
        <stp>rt_latest</stp>
        <stp>RT_Price</stp>
        <tr r="D35" s="1"/>
      </tp>
      <tp>
        <v>4160</v>
        <stp/>
        <stp>HC02M.SHF</stp>
        <stp>rt_latest</stp>
        <stp>RT_Price</stp>
        <tr r="C35" s="1"/>
      </tp>
      <tp>
        <v>4134</v>
        <stp/>
        <stp>HC05M.SHF</stp>
        <stp>rt_latest</stp>
        <stp>RT_Price</stp>
        <tr r="F35" s="1"/>
      </tp>
      <tp>
        <v>4155</v>
        <stp/>
        <stp>HC04M.SHF</stp>
        <stp>rt_latest</stp>
        <stp>RT_Price</stp>
        <tr r="E35" s="1"/>
      </tp>
      <tp>
        <v>4116</v>
        <stp/>
        <stp>HC07M.SHF</stp>
        <stp>rt_latest</stp>
        <stp>RT_Price</stp>
        <tr r="H35" s="1"/>
      </tp>
      <tp>
        <v>4125</v>
        <stp/>
        <stp>HC06M.SHF</stp>
        <stp>rt_latest</stp>
        <stp>RT_Price</stp>
        <tr r="G35" s="1"/>
      </tp>
      <tp>
        <v>0</v>
        <stp/>
        <stp>CF12M.CZC</stp>
        <stp>rt_latest</stp>
        <stp>RT_Price</stp>
        <tr r="M45" s="1"/>
      </tp>
      <tp>
        <v>15010</v>
        <stp/>
        <stp>CF11M.CZC</stp>
        <stp>rt_latest</stp>
        <stp>RT_Price</stp>
        <tr r="L45" s="1"/>
      </tp>
      <tp>
        <v>0</v>
        <stp/>
        <stp>CF10M.CZC</stp>
        <stp>rt_latest</stp>
        <stp>RT_Price</stp>
        <tr r="K45" s="1"/>
      </tp>
      <tp>
        <v>14935</v>
        <stp/>
        <stp>CF09M.CZC</stp>
        <stp>rt_latest</stp>
        <stp>RT_Price</stp>
        <tr r="J45" s="1"/>
      </tp>
      <tp>
        <v>0</v>
        <stp/>
        <stp>CF08M.CZC</stp>
        <stp>rt_latest</stp>
        <stp>RT_Price</stp>
        <tr r="I45" s="1"/>
      </tp>
      <tp>
        <v>14800</v>
        <stp/>
        <stp>CF03M.CZC</stp>
        <stp>rt_latest</stp>
        <stp>RT_Price</stp>
        <tr r="D45" s="1"/>
      </tp>
      <tp t="e">
        <v>#N/A</v>
        <stp/>
        <stp>CF02M.CZC</stp>
        <stp>rt_latest</stp>
        <stp>RT_Price</stp>
        <tr r="C45" s="1"/>
      </tp>
      <tp>
        <v>15065</v>
        <stp/>
        <stp>CF01M.CZC</stp>
        <stp>rt_latest</stp>
        <stp>RT_Price</stp>
        <tr r="B45" s="1"/>
      </tp>
      <tp>
        <v>14860</v>
        <stp/>
        <stp>CF07M.CZC</stp>
        <stp>rt_latest</stp>
        <stp>RT_Price</stp>
        <tr r="H45" s="1"/>
      </tp>
      <tp>
        <v>0</v>
        <stp/>
        <stp>CF06M.CZC</stp>
        <stp>rt_latest</stp>
        <stp>RT_Price</stp>
        <tr r="G45" s="1"/>
      </tp>
      <tp>
        <v>14825</v>
        <stp/>
        <stp>CF05M.CZC</stp>
        <stp>rt_latest</stp>
        <stp>RT_Price</stp>
        <tr r="F45" s="1"/>
      </tp>
      <tp>
        <v>0</v>
        <stp/>
        <stp>CF04M.CZC</stp>
        <stp>rt_latest</stp>
        <stp>RT_Price</stp>
        <tr r="E45" s="1"/>
      </tp>
      <tp>
        <v>5484</v>
        <stp/>
        <stp>A07M.DCE</stp>
        <stp>rt_latest</stp>
        <stp>RT_Price</stp>
        <tr r="H42" s="1"/>
      </tp>
      <tp t="e">
        <v>#N/A</v>
        <stp/>
        <stp>A06M.DCE</stp>
        <stp>rt_latest</stp>
        <stp>RT_Price</stp>
        <tr r="G42" s="1"/>
      </tp>
      <tp>
        <v>5535</v>
        <stp/>
        <stp>A05M.DCE</stp>
        <stp>rt_latest</stp>
        <stp>RT_Price</stp>
        <tr r="F42" s="1"/>
      </tp>
      <tp t="e">
        <v>#N/A</v>
        <stp/>
        <stp>A04M.DCE</stp>
        <stp>rt_latest</stp>
        <stp>RT_Price</stp>
        <tr r="E42" s="1"/>
      </tp>
      <tp>
        <v>5511</v>
        <stp/>
        <stp>A03M.DCE</stp>
        <stp>rt_latest</stp>
        <stp>RT_Price</stp>
        <tr r="D42" s="1"/>
      </tp>
      <tp t="e">
        <v>#N/A</v>
        <stp/>
        <stp>A02M.DCE</stp>
        <stp>rt_latest</stp>
        <stp>RT_Price</stp>
        <tr r="C42" s="1"/>
      </tp>
      <tp>
        <v>5444</v>
        <stp/>
        <stp>A01M.DCE</stp>
        <stp>rt_latest</stp>
        <stp>RT_Price</stp>
        <tr r="B42" s="1"/>
      </tp>
      <tp>
        <v>5467</v>
        <stp/>
        <stp>A09M.DCE</stp>
        <stp>rt_latest</stp>
        <stp>RT_Price</stp>
        <tr r="J42" s="1"/>
      </tp>
      <tp t="e">
        <v>#N/A</v>
        <stp/>
        <stp>A08M.DCE</stp>
        <stp>rt_latest</stp>
        <stp>RT_Price</stp>
        <tr r="I42" s="1"/>
      </tp>
      <tp t="e">
        <v>#N/A</v>
        <stp/>
        <stp>A12M.DCE</stp>
        <stp>rt_latest</stp>
        <stp>RT_Price</stp>
        <tr r="M42" s="1"/>
      </tp>
      <tp>
        <v>5457</v>
        <stp/>
        <stp>A11M.DCE</stp>
        <stp>rt_latest</stp>
        <stp>RT_Price</stp>
        <tr r="L42" s="1"/>
      </tp>
      <tp t="e">
        <v>#N/A</v>
        <stp/>
        <stp>A10M.DCE</stp>
        <stp>rt_latest</stp>
        <stp>RT_Price</stp>
        <tr r="K42" s="1"/>
      </tp>
      <tp>
        <v>4085</v>
        <stp/>
        <stp>EG02M.DCE</stp>
        <stp>rt_latest</stp>
        <stp>RT_Price</stp>
        <tr r="C39" s="1"/>
      </tp>
      <tp>
        <v>5100</v>
        <stp/>
        <stp>PG02M.DCE</stp>
        <stp>rt_latest</stp>
        <stp>RT_Price</stp>
        <tr r="C40" s="1"/>
      </tp>
      <tp>
        <v>4092</v>
        <stp/>
        <stp>EG03M.DCE</stp>
        <stp>rt_latest</stp>
        <stp>RT_Price</stp>
        <tr r="D39" s="1"/>
      </tp>
      <tp>
        <v>4780</v>
        <stp/>
        <stp>PG03M.DCE</stp>
        <stp>rt_latest</stp>
        <stp>RT_Price</stp>
        <tr r="D40" s="1"/>
      </tp>
      <tp>
        <v>4337</v>
        <stp/>
        <stp>EG01M.DCE</stp>
        <stp>rt_latest</stp>
        <stp>RT_Price</stp>
        <tr r="B39" s="1"/>
      </tp>
      <tp>
        <v>4685</v>
        <stp/>
        <stp>PG01M.DCE</stp>
        <stp>rt_latest</stp>
        <stp>RT_Price</stp>
        <tr r="B40" s="1"/>
      </tp>
      <tp>
        <v>4199</v>
        <stp/>
        <stp>EG06M.DCE</stp>
        <stp>rt_latest</stp>
        <stp>RT_Price</stp>
        <tr r="G39" s="1"/>
      </tp>
      <tp>
        <v>4805</v>
        <stp/>
        <stp>PG06M.DCE</stp>
        <stp>rt_latest</stp>
        <stp>RT_Price</stp>
        <tr r="G40" s="1"/>
      </tp>
      <tp>
        <v>4225</v>
        <stp/>
        <stp>EG07M.DCE</stp>
        <stp>rt_latest</stp>
        <stp>RT_Price</stp>
        <tr r="H39" s="1"/>
      </tp>
      <tp>
        <v>4727</v>
        <stp/>
        <stp>PG07M.DCE</stp>
        <stp>rt_latest</stp>
        <stp>RT_Price</stp>
        <tr r="H40" s="1"/>
      </tp>
      <tp>
        <v>4141</v>
        <stp/>
        <stp>EG04M.DCE</stp>
        <stp>rt_latest</stp>
        <stp>RT_Price</stp>
        <tr r="E39" s="1"/>
      </tp>
      <tp>
        <v>5069</v>
        <stp/>
        <stp>PG04M.DCE</stp>
        <stp>rt_latest</stp>
        <stp>RT_Price</stp>
        <tr r="E40" s="1"/>
      </tp>
      <tp>
        <v>4173</v>
        <stp/>
        <stp>EG05M.DCE</stp>
        <stp>rt_latest</stp>
        <stp>RT_Price</stp>
        <tr r="F39" s="1"/>
      </tp>
      <tp>
        <v>4893</v>
        <stp/>
        <stp>PG05M.DCE</stp>
        <stp>rt_latest</stp>
        <stp>RT_Price</stp>
        <tr r="F40" s="1"/>
      </tp>
      <tp>
        <v>4245</v>
        <stp/>
        <stp>EG08M.DCE</stp>
        <stp>rt_latest</stp>
        <stp>RT_Price</stp>
        <tr r="I39" s="1"/>
      </tp>
      <tp>
        <v>4646</v>
        <stp/>
        <stp>PG08M.DCE</stp>
        <stp>rt_latest</stp>
        <stp>RT_Price</stp>
        <tr r="I40" s="1"/>
      </tp>
      <tp>
        <v>4263</v>
        <stp/>
        <stp>EG09M.DCE</stp>
        <stp>rt_latest</stp>
        <stp>RT_Price</stp>
        <tr r="J39" s="1"/>
      </tp>
      <tp>
        <v>4543</v>
        <stp/>
        <stp>PG09M.DCE</stp>
        <stp>rt_latest</stp>
        <stp>RT_Price</stp>
        <tr r="J40" s="1"/>
      </tp>
      <tp>
        <v>4349</v>
        <stp/>
        <stp>EG12M.DCE</stp>
        <stp>rt_latest</stp>
        <stp>RT_Price</stp>
        <tr r="M39" s="1"/>
      </tp>
      <tp>
        <v>4703</v>
        <stp/>
        <stp>PG12M.DCE</stp>
        <stp>rt_latest</stp>
        <stp>RT_Price</stp>
        <tr r="M40" s="1"/>
      </tp>
      <tp>
        <v>4280</v>
        <stp/>
        <stp>EG10M.DCE</stp>
        <stp>rt_latest</stp>
        <stp>RT_Price</stp>
        <tr r="K39" s="1"/>
      </tp>
      <tp>
        <v>4932</v>
        <stp/>
        <stp>PG10M.DCE</stp>
        <stp>rt_latest</stp>
        <stp>RT_Price</stp>
        <tr r="K40" s="1"/>
      </tp>
      <tp>
        <v>4335</v>
        <stp/>
        <stp>EG11M.DCE</stp>
        <stp>rt_latest</stp>
        <stp>RT_Price</stp>
        <tr r="L39" s="1"/>
      </tp>
      <tp>
        <v>4741</v>
        <stp/>
        <stp>PG11M.DCE</stp>
        <stp>rt_latest</stp>
        <stp>RT_Price</stp>
        <tr r="L40" s="1"/>
      </tp>
      <tp>
        <v>5045</v>
        <stp/>
        <stp>AG11M.SHF</stp>
        <stp>rt_latest</stp>
        <stp>RT_Price</stp>
        <tr r="L33" s="1"/>
      </tp>
      <tp>
        <v>5033</v>
        <stp/>
        <stp>AG10M.SHF</stp>
        <stp>rt_latest</stp>
        <stp>RT_Price</stp>
        <tr r="K33" s="1"/>
      </tp>
      <tp>
        <v>5050</v>
        <stp/>
        <stp>AG12M.SHF</stp>
        <stp>rt_latest</stp>
        <stp>RT_Price</stp>
        <tr r="M33" s="1"/>
      </tp>
      <tp>
        <v>5026</v>
        <stp/>
        <stp>AG09M.SHF</stp>
        <stp>rt_latest</stp>
        <stp>RT_Price</stp>
        <tr r="J33" s="1"/>
      </tp>
      <tp>
        <v>5014</v>
        <stp/>
        <stp>AG08M.SHF</stp>
        <stp>rt_latest</stp>
        <stp>RT_Price</stp>
        <tr r="I33" s="1"/>
      </tp>
      <tp>
        <v>5070</v>
        <stp/>
        <stp>AG01M.SHF</stp>
        <stp>rt_latest</stp>
        <stp>RT_Price</stp>
        <tr r="B33" s="1"/>
      </tp>
      <tp>
        <v>4968</v>
        <stp/>
        <stp>AG03M.SHF</stp>
        <stp>rt_latest</stp>
        <stp>RT_Price</stp>
        <tr r="D33" s="1"/>
      </tp>
      <tp>
        <v>4961</v>
        <stp/>
        <stp>AG02M.SHF</stp>
        <stp>rt_latest</stp>
        <stp>RT_Price</stp>
        <tr r="C33" s="1"/>
      </tp>
      <tp>
        <v>4983</v>
        <stp/>
        <stp>AG05M.SHF</stp>
        <stp>rt_latest</stp>
        <stp>RT_Price</stp>
        <tr r="F33" s="1"/>
      </tp>
      <tp>
        <v>4975</v>
        <stp/>
        <stp>AG04M.SHF</stp>
        <stp>rt_latest</stp>
        <stp>RT_Price</stp>
        <tr r="E33" s="1"/>
      </tp>
      <tp>
        <v>5001</v>
        <stp/>
        <stp>AG07M.SHF</stp>
        <stp>rt_latest</stp>
        <stp>RT_Price</stp>
        <tr r="H33" s="1"/>
      </tp>
      <tp>
        <v>4991</v>
        <stp/>
        <stp>AG06M.SHF</stp>
        <stp>rt_latest</stp>
        <stp>RT_Price</stp>
        <tr r="G33" s="1"/>
      </tp>
      <tp>
        <v>2800</v>
        <stp/>
        <stp>C07M.DCE</stp>
        <stp>rt_latest</stp>
        <stp>RT_Price</stp>
        <tr r="H43" s="1"/>
      </tp>
      <tp t="e">
        <v>#N/A</v>
        <stp/>
        <stp>C06M.DCE</stp>
        <stp>rt_latest</stp>
        <stp>RT_Price</stp>
        <tr r="G43" s="1"/>
      </tp>
      <tp>
        <v>2803</v>
        <stp/>
        <stp>C05M.DCE</stp>
        <stp>rt_latest</stp>
        <stp>RT_Price</stp>
        <tr r="F43" s="1"/>
      </tp>
      <tp t="e">
        <v>#N/A</v>
        <stp/>
        <stp>C04M.DCE</stp>
        <stp>rt_latest</stp>
        <stp>RT_Price</stp>
        <tr r="E43" s="1"/>
      </tp>
      <tp>
        <v>2771</v>
        <stp/>
        <stp>C03M.DCE</stp>
        <stp>rt_latest</stp>
        <stp>RT_Price</stp>
        <tr r="D43" s="1"/>
      </tp>
      <tp t="e">
        <v>#N/A</v>
        <stp/>
        <stp>C02M.DCE</stp>
        <stp>rt_latest</stp>
        <stp>RT_Price</stp>
        <tr r="C43" s="1"/>
      </tp>
      <tp>
        <v>2742</v>
        <stp/>
        <stp>C01M.DCE</stp>
        <stp>rt_latest</stp>
        <stp>RT_Price</stp>
        <tr r="B43" s="1"/>
      </tp>
      <tp>
        <v>2785</v>
        <stp/>
        <stp>C09M.DCE</stp>
        <stp>rt_latest</stp>
        <stp>RT_Price</stp>
        <tr r="J43" s="1"/>
      </tp>
      <tp t="e">
        <v>#N/A</v>
        <stp/>
        <stp>C08M.DCE</stp>
        <stp>rt_latest</stp>
        <stp>RT_Price</stp>
        <tr r="I43" s="1"/>
      </tp>
      <tp t="e">
        <v>#N/A</v>
        <stp/>
        <stp>C12M.DCE</stp>
        <stp>rt_latest</stp>
        <stp>RT_Price</stp>
        <tr r="M43" s="1"/>
      </tp>
      <tp>
        <v>2757</v>
        <stp/>
        <stp>C11M.DCE</stp>
        <stp>rt_latest</stp>
        <stp>RT_Price</stp>
        <tr r="L43" s="1"/>
      </tp>
      <tp t="e">
        <v>#N/A</v>
        <stp/>
        <stp>C10M.DCE</stp>
        <stp>rt_latest</stp>
        <stp>RT_Price</stp>
        <tr r="K43" s="1"/>
      </tp>
      <tp>
        <v>11425</v>
        <stp/>
        <stp>CJ12M.CZC</stp>
        <stp>rt_latest</stp>
        <stp>RT_Price</stp>
        <tr r="M47" s="1"/>
      </tp>
      <tp t="e">
        <v>#N/A</v>
        <stp/>
        <stp>CJ11M.CZC</stp>
        <stp>rt_latest</stp>
        <stp>RT_Price</stp>
        <tr r="L47" s="1"/>
      </tp>
      <tp t="e">
        <v>#N/A</v>
        <stp/>
        <stp>CJ10M.CZC</stp>
        <stp>rt_latest</stp>
        <stp>RT_Price</stp>
        <tr r="K47" s="1"/>
      </tp>
      <tp>
        <v>10970</v>
        <stp/>
        <stp>CJ09M.CZC</stp>
        <stp>rt_latest</stp>
        <stp>RT_Price</stp>
        <tr r="J47" s="1"/>
      </tp>
      <tp t="e">
        <v>#N/A</v>
        <stp/>
        <stp>CJ08M.CZC</stp>
        <stp>rt_latest</stp>
        <stp>RT_Price</stp>
        <tr r="I47" s="1"/>
      </tp>
      <tp>
        <v>10275</v>
        <stp/>
        <stp>CJ03M.CZC</stp>
        <stp>rt_latest</stp>
        <stp>RT_Price</stp>
        <tr r="D47" s="1"/>
      </tp>
      <tp t="e">
        <v>#N/A</v>
        <stp/>
        <stp>CJ02M.CZC</stp>
        <stp>rt_latest</stp>
        <stp>RT_Price</stp>
        <tr r="C47" s="1"/>
      </tp>
      <tp>
        <v>11615</v>
        <stp/>
        <stp>CJ01M.CZC</stp>
        <stp>rt_latest</stp>
        <stp>RT_Price</stp>
        <tr r="B47" s="1"/>
      </tp>
      <tp>
        <v>10800</v>
        <stp/>
        <stp>CJ07M.CZC</stp>
        <stp>rt_latest</stp>
        <stp>RT_Price</stp>
        <tr r="H47" s="1"/>
      </tp>
      <tp t="e">
        <v>#N/A</v>
        <stp/>
        <stp>CJ06M.CZC</stp>
        <stp>rt_latest</stp>
        <stp>RT_Price</stp>
        <tr r="G47" s="1"/>
      </tp>
      <tp>
        <v>10550</v>
        <stp/>
        <stp>CJ05M.CZC</stp>
        <stp>rt_latest</stp>
        <stp>RT_Price</stp>
        <tr r="F47" s="1"/>
      </tp>
      <tp t="e">
        <v>#N/A</v>
        <stp/>
        <stp>CJ04M.CZC</stp>
        <stp>rt_latest</stp>
        <stp>RT_Price</stp>
        <tr r="E47" s="1"/>
      </tp>
      <tp>
        <v>3836</v>
        <stp/>
        <stp>M07M.DCE</stp>
        <stp>rt_latest</stp>
        <stp>RT_Price</stp>
        <tr r="H41" s="1"/>
      </tp>
      <tp t="e">
        <v>#N/A</v>
        <stp/>
        <stp>M06M.DCE</stp>
        <stp>rt_latest</stp>
        <stp>RT_Price</stp>
        <tr r="G41" s="1"/>
      </tp>
      <tp>
        <v>3862</v>
        <stp/>
        <stp>M05M.DCE</stp>
        <stp>rt_latest</stp>
        <stp>RT_Price</stp>
        <tr r="F41" s="1"/>
      </tp>
      <tp t="e">
        <v>#N/A</v>
        <stp/>
        <stp>M04M.DCE</stp>
        <stp>rt_latest</stp>
        <stp>RT_Price</stp>
        <tr r="E41" s="1"/>
      </tp>
      <tp>
        <v>4267</v>
        <stp/>
        <stp>M03M.DCE</stp>
        <stp>rt_latest</stp>
        <stp>RT_Price</stp>
        <tr r="D41" s="1"/>
      </tp>
      <tp t="e">
        <v>#N/A</v>
        <stp/>
        <stp>M02M.DCE</stp>
        <stp>rt_latest</stp>
        <stp>RT_Price</stp>
        <tr r="C41" s="1"/>
      </tp>
      <tp>
        <v>3694</v>
        <stp/>
        <stp>M01M.DCE</stp>
        <stp>rt_latest</stp>
        <stp>RT_Price</stp>
        <tr r="B41" s="1"/>
      </tp>
      <tp>
        <v>3852</v>
        <stp/>
        <stp>M09M.DCE</stp>
        <stp>rt_latest</stp>
        <stp>RT_Price</stp>
        <tr r="J41" s="1"/>
      </tp>
      <tp>
        <v>3883</v>
        <stp/>
        <stp>M08M.DCE</stp>
        <stp>rt_latest</stp>
        <stp>RT_Price</stp>
        <tr r="I41" s="1"/>
      </tp>
      <tp>
        <v>3773</v>
        <stp/>
        <stp>M12M.DCE</stp>
        <stp>rt_latest</stp>
        <stp>RT_Price</stp>
        <tr r="M41" s="1"/>
      </tp>
      <tp>
        <v>3816</v>
        <stp/>
        <stp>M11M.DCE</stp>
        <stp>rt_latest</stp>
        <stp>RT_Price</stp>
        <tr r="L41" s="1"/>
      </tp>
      <tp t="e">
        <v>#N/A</v>
        <stp/>
        <stp>M10M.DCE</stp>
        <stp>rt_latest</stp>
        <stp>RT_Price</stp>
        <tr r="K41" s="1"/>
      </tp>
      <tp>
        <v>195490</v>
        <stp/>
        <stp>NI11M.SHF</stp>
        <stp>rt_latest</stp>
        <stp>RT_Price</stp>
        <tr r="L32" s="1"/>
      </tp>
      <tp>
        <v>194660</v>
        <stp/>
        <stp>NI10M.SHF</stp>
        <stp>rt_latest</stp>
        <stp>RT_Price</stp>
        <tr r="K32" s="1"/>
      </tp>
      <tp>
        <v>192470</v>
        <stp/>
        <stp>NI12M.SHF</stp>
        <stp>rt_latest</stp>
        <stp>RT_Price</stp>
        <tr r="M32" s="1"/>
      </tp>
      <tp>
        <v>195140</v>
        <stp/>
        <stp>NI09M.SHF</stp>
        <stp>rt_latest</stp>
        <stp>RT_Price</stp>
        <tr r="J32" s="1"/>
      </tp>
      <tp>
        <v>198880</v>
        <stp/>
        <stp>NI08M.SHF</stp>
        <stp>rt_latest</stp>
        <stp>RT_Price</stp>
        <tr r="I32" s="1"/>
      </tp>
      <tp>
        <v>192750</v>
        <stp/>
        <stp>NI01M.SHF</stp>
        <stp>rt_latest</stp>
        <stp>RT_Price</stp>
        <tr r="B32" s="1"/>
      </tp>
      <tp>
        <v>208990</v>
        <stp/>
        <stp>NI03M.SHF</stp>
        <stp>rt_latest</stp>
        <stp>RT_Price</stp>
        <tr r="D32" s="1"/>
      </tp>
      <tp>
        <v>213760</v>
        <stp/>
        <stp>NI02M.SHF</stp>
        <stp>rt_latest</stp>
        <stp>RT_Price</stp>
        <tr r="C32" s="1"/>
      </tp>
      <tp>
        <v>203010</v>
        <stp/>
        <stp>NI05M.SHF</stp>
        <stp>rt_latest</stp>
        <stp>RT_Price</stp>
        <tr r="F32" s="1"/>
      </tp>
      <tp>
        <v>205790</v>
        <stp/>
        <stp>NI04M.SHF</stp>
        <stp>rt_latest</stp>
        <stp>RT_Price</stp>
        <tr r="E32" s="1"/>
      </tp>
      <tp>
        <v>200700</v>
        <stp/>
        <stp>NI07M.SHF</stp>
        <stp>rt_latest</stp>
        <stp>RT_Price</stp>
        <tr r="H32" s="1"/>
      </tp>
      <tp>
        <v>201230</v>
        <stp/>
        <stp>NI06M.SHF</stp>
        <stp>rt_latest</stp>
        <stp>RT_Price</stp>
        <tr r="G32" s="1"/>
      </tp>
      <tp>
        <v>22850</v>
        <stp/>
        <stp>ZN11M.SHF</stp>
        <stp>rt_latest</stp>
        <stp>RT_Price</stp>
        <tr r="L30" s="1"/>
      </tp>
      <tp>
        <v>22930</v>
        <stp/>
        <stp>ZN10M.SHF</stp>
        <stp>rt_latest</stp>
        <stp>RT_Price</stp>
        <tr r="K30" s="1"/>
      </tp>
      <tp>
        <v>22800</v>
        <stp/>
        <stp>ZN12M.SHF</stp>
        <stp>rt_latest</stp>
        <stp>RT_Price</stp>
        <tr r="M30" s="1"/>
      </tp>
      <tp>
        <v>22980</v>
        <stp/>
        <stp>ZN09M.SHF</stp>
        <stp>rt_latest</stp>
        <stp>RT_Price</stp>
        <tr r="J30" s="1"/>
      </tp>
      <tp>
        <v>23280</v>
        <stp/>
        <stp>ZN08M.SHF</stp>
        <stp>rt_latest</stp>
        <stp>RT_Price</stp>
        <tr r="I30" s="1"/>
      </tp>
      <tp>
        <v>22750</v>
        <stp/>
        <stp>ZN01M.SHF</stp>
        <stp>rt_latest</stp>
        <stp>RT_Price</stp>
        <tr r="B30" s="1"/>
      </tp>
      <tp>
        <v>23310</v>
        <stp/>
        <stp>ZN03M.SHF</stp>
        <stp>rt_latest</stp>
        <stp>RT_Price</stp>
        <tr r="D30" s="1"/>
      </tp>
      <tp>
        <v>23280</v>
        <stp/>
        <stp>ZN02M.SHF</stp>
        <stp>rt_latest</stp>
        <stp>RT_Price</stp>
        <tr r="C30" s="1"/>
      </tp>
      <tp>
        <v>23280</v>
        <stp/>
        <stp>ZN05M.SHF</stp>
        <stp>rt_latest</stp>
        <stp>RT_Price</stp>
        <tr r="F30" s="1"/>
      </tp>
      <tp>
        <v>23315</v>
        <stp/>
        <stp>ZN04M.SHF</stp>
        <stp>rt_latest</stp>
        <stp>RT_Price</stp>
        <tr r="E30" s="1"/>
      </tp>
      <tp>
        <v>23115</v>
        <stp/>
        <stp>ZN07M.SHF</stp>
        <stp>rt_latest</stp>
        <stp>RT_Price</stp>
        <tr r="H30" s="1"/>
      </tp>
      <tp>
        <v>23210</v>
        <stp/>
        <stp>ZN06M.SHF</stp>
        <stp>rt_latest</stp>
        <stp>RT_Price</stp>
        <tr r="G30" s="1"/>
      </tp>
      <tp>
        <v>18870</v>
        <stp/>
        <stp>AL11M.SHF</stp>
        <stp>rt_latest</stp>
        <stp>RT_Price</stp>
        <tr r="L29" s="1"/>
      </tp>
      <tp>
        <v>18845</v>
        <stp/>
        <stp>AL10M.SHF</stp>
        <stp>rt_latest</stp>
        <stp>RT_Price</stp>
        <tr r="K29" s="1"/>
      </tp>
      <tp>
        <v>18800</v>
        <stp/>
        <stp>AL12M.SHF</stp>
        <stp>rt_latest</stp>
        <stp>RT_Price</stp>
        <tr r="M29" s="1"/>
      </tp>
      <tp>
        <v>18855</v>
        <stp/>
        <stp>AL09M.SHF</stp>
        <stp>rt_latest</stp>
        <stp>RT_Price</stp>
        <tr r="J29" s="1"/>
      </tp>
      <tp>
        <v>18860</v>
        <stp/>
        <stp>AL08M.SHF</stp>
        <stp>rt_latest</stp>
        <stp>RT_Price</stp>
        <tr r="I29" s="1"/>
      </tp>
      <tp>
        <v>18780</v>
        <stp/>
        <stp>AL01M.SHF</stp>
        <stp>rt_latest</stp>
        <stp>RT_Price</stp>
        <tr r="B29" s="1"/>
      </tp>
      <tp>
        <v>18935</v>
        <stp/>
        <stp>AL03M.SHF</stp>
        <stp>rt_latest</stp>
        <stp>RT_Price</stp>
        <tr r="D29" s="1"/>
      </tp>
      <tp>
        <v>18900</v>
        <stp/>
        <stp>AL02M.SHF</stp>
        <stp>rt_latest</stp>
        <stp>RT_Price</stp>
        <tr r="C29" s="1"/>
      </tp>
      <tp>
        <v>18945</v>
        <stp/>
        <stp>AL05M.SHF</stp>
        <stp>rt_latest</stp>
        <stp>RT_Price</stp>
        <tr r="F29" s="1"/>
      </tp>
      <tp>
        <v>18955</v>
        <stp/>
        <stp>AL04M.SHF</stp>
        <stp>rt_latest</stp>
        <stp>RT_Price</stp>
        <tr r="E29" s="1"/>
      </tp>
      <tp>
        <v>18870</v>
        <stp/>
        <stp>AL07M.SHF</stp>
        <stp>rt_latest</stp>
        <stp>RT_Price</stp>
        <tr r="H29" s="1"/>
      </tp>
      <tp>
        <v>18895</v>
        <stp/>
        <stp>AL06M.SHF</stp>
        <stp>rt_latest</stp>
        <stp>RT_Price</stp>
        <tr r="G29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N96"/>
  <sheetViews>
    <sheetView tabSelected="1" workbookViewId="0">
      <selection activeCell="Q76" sqref="Q76"/>
    </sheetView>
  </sheetViews>
  <sheetFormatPr defaultRowHeight="13.5" x14ac:dyDescent="0.15"/>
  <cols>
    <col min="1" max="1" width="7.75" customWidth="1"/>
    <col min="2" max="13" width="7" customWidth="1"/>
    <col min="14" max="14" width="11.375" customWidth="1"/>
    <col min="15" max="26" width="8.125" style="29" customWidth="1"/>
    <col min="27" max="27" width="14" customWidth="1"/>
    <col min="28" max="28" width="16.25" bestFit="1" customWidth="1"/>
    <col min="29" max="29" width="9.375" bestFit="1" customWidth="1"/>
  </cols>
  <sheetData>
    <row r="1" spans="1:40" ht="66.75" thickBot="1" x14ac:dyDescent="0.4">
      <c r="A1" s="25" t="s">
        <v>52</v>
      </c>
      <c r="B1" s="89" t="s">
        <v>57</v>
      </c>
      <c r="C1" s="89" t="s">
        <v>58</v>
      </c>
      <c r="D1" s="71" t="s">
        <v>60</v>
      </c>
      <c r="E1" s="89" t="s">
        <v>59</v>
      </c>
      <c r="F1" s="71" t="s">
        <v>62</v>
      </c>
      <c r="G1" s="119" t="s">
        <v>65</v>
      </c>
      <c r="H1" s="72" t="s">
        <v>61</v>
      </c>
      <c r="N1" s="25" t="s">
        <v>48</v>
      </c>
      <c r="O1" s="30" t="s">
        <v>12</v>
      </c>
      <c r="P1" s="26" t="s">
        <v>0</v>
      </c>
      <c r="Q1" s="26" t="s">
        <v>1</v>
      </c>
      <c r="R1" s="26" t="s">
        <v>2</v>
      </c>
      <c r="S1" s="26" t="s">
        <v>3</v>
      </c>
      <c r="T1" s="26" t="s">
        <v>4</v>
      </c>
      <c r="U1" s="26" t="s">
        <v>5</v>
      </c>
      <c r="V1" s="26" t="s">
        <v>6</v>
      </c>
      <c r="W1" s="26" t="s">
        <v>7</v>
      </c>
      <c r="X1" s="26" t="s">
        <v>8</v>
      </c>
      <c r="Y1" s="26" t="s">
        <v>9</v>
      </c>
      <c r="Z1" s="27" t="s">
        <v>11</v>
      </c>
    </row>
    <row r="2" spans="1:40" ht="16.5" x14ac:dyDescent="0.35">
      <c r="A2" s="81" t="s">
        <v>18</v>
      </c>
      <c r="B2" s="87">
        <v>0</v>
      </c>
      <c r="C2" s="87">
        <f>0.2/1.06</f>
        <v>0.18867924528301888</v>
      </c>
      <c r="D2" s="87">
        <v>0</v>
      </c>
      <c r="E2" s="74">
        <v>0.04</v>
      </c>
      <c r="F2" s="87">
        <v>0</v>
      </c>
      <c r="G2" s="87">
        <f>C2*1.06</f>
        <v>0.2</v>
      </c>
      <c r="H2" s="90">
        <v>5.9999999999999995E-4</v>
      </c>
      <c r="N2" s="73" t="s">
        <v>56</v>
      </c>
      <c r="O2" s="40">
        <v>44924</v>
      </c>
      <c r="P2" s="33">
        <v>44956</v>
      </c>
      <c r="Q2" s="33">
        <v>44992</v>
      </c>
      <c r="R2" s="33">
        <v>45023</v>
      </c>
      <c r="S2" s="33">
        <v>45058</v>
      </c>
      <c r="T2" s="33">
        <v>45084</v>
      </c>
      <c r="U2" s="40">
        <v>45114</v>
      </c>
      <c r="V2" s="33">
        <v>45145</v>
      </c>
      <c r="W2" s="32">
        <v>45176</v>
      </c>
      <c r="X2" s="33">
        <v>45212</v>
      </c>
      <c r="Y2" s="33">
        <v>45237</v>
      </c>
      <c r="Z2" s="41">
        <v>45267</v>
      </c>
    </row>
    <row r="3" spans="1:40" ht="16.5" x14ac:dyDescent="0.35">
      <c r="A3" s="5" t="s">
        <v>27</v>
      </c>
      <c r="B3" s="83">
        <v>0</v>
      </c>
      <c r="C3" s="83">
        <f>0.5/1.06</f>
        <v>0.47169811320754712</v>
      </c>
      <c r="D3" s="85">
        <v>2.0000000000000002E-5</v>
      </c>
      <c r="E3" s="83">
        <v>0</v>
      </c>
      <c r="F3" s="83">
        <v>0</v>
      </c>
      <c r="G3" s="83">
        <f t="shared" ref="G3:G22" si="0">C3*1.06</f>
        <v>0.5</v>
      </c>
      <c r="H3" s="91">
        <v>5.9999999999999995E-4</v>
      </c>
      <c r="N3" s="16" t="s">
        <v>27</v>
      </c>
      <c r="O3" s="40">
        <v>44949</v>
      </c>
      <c r="P3" s="33">
        <v>44979</v>
      </c>
      <c r="Q3" s="33">
        <v>45007</v>
      </c>
      <c r="R3" s="33">
        <v>45040</v>
      </c>
      <c r="S3" s="33">
        <v>45068</v>
      </c>
      <c r="T3" s="33">
        <v>45099</v>
      </c>
      <c r="U3" s="40">
        <v>45131</v>
      </c>
      <c r="V3" s="33">
        <v>45160</v>
      </c>
      <c r="W3" s="32">
        <v>45191</v>
      </c>
      <c r="X3" s="33">
        <v>45222</v>
      </c>
      <c r="Y3" s="33">
        <v>45252</v>
      </c>
      <c r="Z3" s="41">
        <v>45282</v>
      </c>
    </row>
    <row r="4" spans="1:40" ht="16.5" x14ac:dyDescent="0.35">
      <c r="A4" s="1" t="s">
        <v>13</v>
      </c>
      <c r="B4" s="24">
        <v>0.13</v>
      </c>
      <c r="C4" s="83">
        <f>0.3/1.06</f>
        <v>0.28301886792452829</v>
      </c>
      <c r="D4" s="85">
        <v>5.0000000000000002E-5</v>
      </c>
      <c r="E4" s="83">
        <v>0</v>
      </c>
      <c r="F4" s="83">
        <v>0</v>
      </c>
      <c r="G4" s="83">
        <f t="shared" si="0"/>
        <v>0.3</v>
      </c>
      <c r="H4" s="91">
        <v>5.9999999999999995E-4</v>
      </c>
      <c r="N4" s="15" t="s">
        <v>13</v>
      </c>
      <c r="O4" s="31">
        <v>44945</v>
      </c>
      <c r="P4" s="31">
        <v>44977</v>
      </c>
      <c r="Q4" s="31">
        <v>45005</v>
      </c>
      <c r="R4" s="31">
        <v>45036</v>
      </c>
      <c r="S4" s="31">
        <v>45064</v>
      </c>
      <c r="T4" s="31">
        <v>45097</v>
      </c>
      <c r="U4" s="32">
        <v>45127</v>
      </c>
      <c r="V4" s="32">
        <v>45156</v>
      </c>
      <c r="W4" s="32">
        <v>45189</v>
      </c>
      <c r="X4" s="33">
        <v>45222</v>
      </c>
      <c r="Y4" s="33">
        <v>45252</v>
      </c>
      <c r="Z4" s="41">
        <v>45282</v>
      </c>
    </row>
    <row r="5" spans="1:40" ht="16.5" x14ac:dyDescent="0.35">
      <c r="A5" s="1" t="s">
        <v>14</v>
      </c>
      <c r="B5" s="24">
        <v>0.13</v>
      </c>
      <c r="C5" s="83">
        <f>0.4/1.06</f>
        <v>0.37735849056603776</v>
      </c>
      <c r="D5" s="83">
        <v>0</v>
      </c>
      <c r="E5" s="3">
        <v>1.2</v>
      </c>
      <c r="F5" s="83">
        <v>0</v>
      </c>
      <c r="G5" s="83">
        <f t="shared" si="0"/>
        <v>0.4</v>
      </c>
      <c r="H5" s="91">
        <v>5.9999999999999995E-4</v>
      </c>
      <c r="N5" s="15" t="s">
        <v>14</v>
      </c>
      <c r="O5" s="31">
        <v>44945</v>
      </c>
      <c r="P5" s="31">
        <v>44977</v>
      </c>
      <c r="Q5" s="31">
        <v>45005</v>
      </c>
      <c r="R5" s="31">
        <v>45036</v>
      </c>
      <c r="S5" s="31">
        <v>45064</v>
      </c>
      <c r="T5" s="31">
        <v>45097</v>
      </c>
      <c r="U5" s="32">
        <v>45127</v>
      </c>
      <c r="V5" s="32">
        <v>45156</v>
      </c>
      <c r="W5" s="32">
        <v>45189</v>
      </c>
      <c r="X5" s="33">
        <v>45222</v>
      </c>
      <c r="Y5" s="33">
        <v>45252</v>
      </c>
      <c r="Z5" s="41">
        <v>45282</v>
      </c>
    </row>
    <row r="6" spans="1:40" ht="16.5" x14ac:dyDescent="0.35">
      <c r="A6" s="1" t="s">
        <v>15</v>
      </c>
      <c r="B6" s="24">
        <v>0.13</v>
      </c>
      <c r="C6" s="83">
        <f>0.3/1.06</f>
        <v>0.28301886792452829</v>
      </c>
      <c r="D6" s="83">
        <v>0</v>
      </c>
      <c r="E6" s="3">
        <v>1.2</v>
      </c>
      <c r="F6" s="83">
        <v>0</v>
      </c>
      <c r="G6" s="83">
        <f t="shared" si="0"/>
        <v>0.3</v>
      </c>
      <c r="H6" s="91">
        <v>5.9999999999999995E-4</v>
      </c>
      <c r="N6" s="15" t="s">
        <v>15</v>
      </c>
      <c r="O6" s="31">
        <v>44945</v>
      </c>
      <c r="P6" s="31">
        <v>44977</v>
      </c>
      <c r="Q6" s="31">
        <v>45005</v>
      </c>
      <c r="R6" s="31">
        <v>45036</v>
      </c>
      <c r="S6" s="31">
        <v>45064</v>
      </c>
      <c r="T6" s="31">
        <v>45097</v>
      </c>
      <c r="U6" s="32">
        <v>45127</v>
      </c>
      <c r="V6" s="32">
        <v>45156</v>
      </c>
      <c r="W6" s="32">
        <v>45189</v>
      </c>
      <c r="X6" s="33">
        <v>45222</v>
      </c>
      <c r="Y6" s="33">
        <v>45252</v>
      </c>
      <c r="Z6" s="41">
        <v>45282</v>
      </c>
    </row>
    <row r="7" spans="1:40" ht="16.5" x14ac:dyDescent="0.35">
      <c r="A7" s="1" t="s">
        <v>25</v>
      </c>
      <c r="B7" s="24">
        <v>0.13</v>
      </c>
      <c r="C7" s="83">
        <f>0.7/1.06</f>
        <v>0.660377358490566</v>
      </c>
      <c r="D7" s="85">
        <v>8.0000000000000007E-5</v>
      </c>
      <c r="E7" s="83">
        <v>0</v>
      </c>
      <c r="F7" s="83">
        <v>0</v>
      </c>
      <c r="G7" s="83">
        <f t="shared" si="0"/>
        <v>0.7</v>
      </c>
      <c r="H7" s="91">
        <v>5.9999999999999995E-4</v>
      </c>
      <c r="N7" s="15" t="s">
        <v>25</v>
      </c>
      <c r="O7" s="31">
        <v>44945</v>
      </c>
      <c r="P7" s="31">
        <v>44977</v>
      </c>
      <c r="Q7" s="31">
        <v>45005</v>
      </c>
      <c r="R7" s="31">
        <v>45036</v>
      </c>
      <c r="S7" s="31">
        <v>45064</v>
      </c>
      <c r="T7" s="31">
        <v>45097</v>
      </c>
      <c r="U7" s="32">
        <v>45127</v>
      </c>
      <c r="V7" s="32">
        <v>45156</v>
      </c>
      <c r="W7" s="32">
        <v>45189</v>
      </c>
      <c r="X7" s="33">
        <v>45222</v>
      </c>
      <c r="Y7" s="33">
        <v>45252</v>
      </c>
      <c r="Z7" s="41">
        <v>45282</v>
      </c>
    </row>
    <row r="8" spans="1:40" ht="16.5" x14ac:dyDescent="0.35">
      <c r="A8" s="1" t="s">
        <v>26</v>
      </c>
      <c r="B8" s="24">
        <v>0.13</v>
      </c>
      <c r="C8" s="83">
        <v>1.25</v>
      </c>
      <c r="D8" s="83">
        <v>0</v>
      </c>
      <c r="E8" s="3">
        <v>6</v>
      </c>
      <c r="F8" s="83">
        <v>0</v>
      </c>
      <c r="G8" s="83">
        <f t="shared" si="0"/>
        <v>1.3250000000000002</v>
      </c>
      <c r="H8" s="91">
        <v>5.9999999999999995E-4</v>
      </c>
      <c r="N8" s="15" t="s">
        <v>26</v>
      </c>
      <c r="O8" s="31">
        <v>44945</v>
      </c>
      <c r="P8" s="31">
        <v>44977</v>
      </c>
      <c r="Q8" s="31">
        <v>45005</v>
      </c>
      <c r="R8" s="31">
        <v>45036</v>
      </c>
      <c r="S8" s="31">
        <v>45064</v>
      </c>
      <c r="T8" s="31">
        <v>45097</v>
      </c>
      <c r="U8" s="32">
        <v>45127</v>
      </c>
      <c r="V8" s="32">
        <v>45156</v>
      </c>
      <c r="W8" s="32">
        <v>45189</v>
      </c>
      <c r="X8" s="33">
        <v>45222</v>
      </c>
      <c r="Y8" s="33">
        <v>45252</v>
      </c>
      <c r="Z8" s="41">
        <v>45282</v>
      </c>
    </row>
    <row r="9" spans="1:40" ht="16.5" x14ac:dyDescent="0.35">
      <c r="A9" s="1" t="s">
        <v>16</v>
      </c>
      <c r="B9" s="24">
        <v>0.13</v>
      </c>
      <c r="C9" s="83">
        <f>0.016/1.06</f>
        <v>1.509433962264151E-2</v>
      </c>
      <c r="D9" s="85">
        <v>1E-4</v>
      </c>
      <c r="E9" s="83">
        <v>0</v>
      </c>
      <c r="F9" s="83">
        <v>0</v>
      </c>
      <c r="G9" s="83">
        <f t="shared" si="0"/>
        <v>1.6E-2</v>
      </c>
      <c r="H9" s="91">
        <v>5.9999999999999995E-4</v>
      </c>
      <c r="N9" s="15" t="s">
        <v>16</v>
      </c>
      <c r="O9" s="31">
        <v>44945</v>
      </c>
      <c r="P9" s="31">
        <v>44977</v>
      </c>
      <c r="Q9" s="31">
        <v>45005</v>
      </c>
      <c r="R9" s="31">
        <v>45036</v>
      </c>
      <c r="S9" s="31">
        <v>45064</v>
      </c>
      <c r="T9" s="31">
        <v>45097</v>
      </c>
      <c r="U9" s="32">
        <v>45127</v>
      </c>
      <c r="V9" s="32">
        <v>45156</v>
      </c>
      <c r="W9" s="32">
        <v>45189</v>
      </c>
      <c r="X9" s="33">
        <v>45222</v>
      </c>
      <c r="Y9" s="33">
        <v>45252</v>
      </c>
      <c r="Z9" s="41">
        <v>45282</v>
      </c>
    </row>
    <row r="10" spans="1:40" ht="16.5" x14ac:dyDescent="0.35">
      <c r="A10" s="1" t="s">
        <v>30</v>
      </c>
      <c r="B10" s="84">
        <v>0.13</v>
      </c>
      <c r="C10" s="83">
        <f>0.15/1.06</f>
        <v>0.14150943396226415</v>
      </c>
      <c r="D10" s="85">
        <v>2.0000000000000001E-4</v>
      </c>
      <c r="E10" s="83">
        <v>0</v>
      </c>
      <c r="F10" s="83">
        <v>0</v>
      </c>
      <c r="G10" s="83">
        <f t="shared" si="0"/>
        <v>0.15</v>
      </c>
      <c r="H10" s="91">
        <v>5.9999999999999995E-4</v>
      </c>
      <c r="N10" s="15" t="s">
        <v>30</v>
      </c>
      <c r="O10" s="31">
        <v>44945</v>
      </c>
      <c r="P10" s="31">
        <v>44977</v>
      </c>
      <c r="Q10" s="31">
        <v>45005</v>
      </c>
      <c r="R10" s="31">
        <v>45036</v>
      </c>
      <c r="S10" s="31">
        <v>45064</v>
      </c>
      <c r="T10" s="31">
        <v>45097</v>
      </c>
      <c r="U10" s="31">
        <v>45127</v>
      </c>
      <c r="V10" s="31">
        <v>45156</v>
      </c>
      <c r="W10" s="32">
        <v>45189</v>
      </c>
      <c r="X10" s="33">
        <v>45222</v>
      </c>
      <c r="Y10" s="33">
        <v>45252</v>
      </c>
      <c r="Z10" s="41">
        <v>45282</v>
      </c>
    </row>
    <row r="11" spans="1:40" ht="16.5" x14ac:dyDescent="0.35">
      <c r="A11" s="1" t="s">
        <v>31</v>
      </c>
      <c r="B11" s="24">
        <v>0.13</v>
      </c>
      <c r="C11" s="83">
        <f>1/1.06</f>
        <v>0.94339622641509424</v>
      </c>
      <c r="D11" s="85">
        <v>2.0000000000000001E-4</v>
      </c>
      <c r="E11" s="83">
        <v>0</v>
      </c>
      <c r="F11" s="83">
        <v>0</v>
      </c>
      <c r="G11" s="83">
        <f t="shared" si="0"/>
        <v>1</v>
      </c>
      <c r="H11" s="91">
        <v>5.9999999999999995E-4</v>
      </c>
      <c r="N11" s="15" t="s">
        <v>31</v>
      </c>
      <c r="O11" s="31">
        <v>44945</v>
      </c>
      <c r="P11" s="31">
        <v>44977</v>
      </c>
      <c r="Q11" s="31">
        <v>45005</v>
      </c>
      <c r="R11" s="31">
        <v>45036</v>
      </c>
      <c r="S11" s="31">
        <v>45064</v>
      </c>
      <c r="T11" s="31">
        <v>45097</v>
      </c>
      <c r="U11" s="31">
        <v>45127</v>
      </c>
      <c r="V11" s="31">
        <v>45156</v>
      </c>
      <c r="W11" s="32">
        <v>45189</v>
      </c>
      <c r="X11" s="33">
        <v>45222</v>
      </c>
      <c r="Y11" s="33">
        <v>45252</v>
      </c>
      <c r="Z11" s="41">
        <v>45282</v>
      </c>
    </row>
    <row r="12" spans="1:40" ht="16.5" x14ac:dyDescent="0.35">
      <c r="A12" s="1" t="s">
        <v>32</v>
      </c>
      <c r="B12" s="83">
        <v>0</v>
      </c>
      <c r="C12" s="83">
        <f>1.4/1.06</f>
        <v>1.320754716981132</v>
      </c>
      <c r="D12" s="85">
        <v>1E-4</v>
      </c>
      <c r="E12" s="83">
        <v>0</v>
      </c>
      <c r="F12" s="83">
        <v>0</v>
      </c>
      <c r="G12" s="83">
        <f t="shared" si="0"/>
        <v>1.4</v>
      </c>
      <c r="H12" s="91">
        <v>5.9999999999999995E-4</v>
      </c>
      <c r="N12" s="15" t="s">
        <v>32</v>
      </c>
      <c r="O12" s="31">
        <v>44922</v>
      </c>
      <c r="P12" s="31">
        <v>44945</v>
      </c>
      <c r="Q12" s="31">
        <v>44988</v>
      </c>
      <c r="R12" s="31">
        <v>45021</v>
      </c>
      <c r="S12" s="31">
        <v>45056</v>
      </c>
      <c r="T12" s="31">
        <v>45082</v>
      </c>
      <c r="U12" s="31">
        <v>45112</v>
      </c>
      <c r="V12" s="31">
        <v>45141</v>
      </c>
      <c r="W12" s="32">
        <v>45174</v>
      </c>
      <c r="X12" s="40">
        <v>45210</v>
      </c>
      <c r="Y12" s="32">
        <v>44868</v>
      </c>
      <c r="Z12" s="37">
        <v>45265</v>
      </c>
      <c r="AD12" s="54"/>
      <c r="AE12" s="54"/>
      <c r="AF12" s="54"/>
      <c r="AG12" s="54"/>
      <c r="AH12" s="54"/>
      <c r="AI12" s="54"/>
      <c r="AJ12" s="54"/>
      <c r="AK12" s="56"/>
      <c r="AL12" s="54"/>
      <c r="AM12" s="54"/>
      <c r="AN12" s="55"/>
    </row>
    <row r="13" spans="1:40" ht="16.5" x14ac:dyDescent="0.35">
      <c r="A13" s="1" t="s">
        <v>29</v>
      </c>
      <c r="B13" s="83">
        <v>0</v>
      </c>
      <c r="C13" s="86">
        <f>0.0018/1.06</f>
        <v>1.6981132075471698E-3</v>
      </c>
      <c r="D13" s="83">
        <v>0</v>
      </c>
      <c r="E13" s="3">
        <v>0.02</v>
      </c>
      <c r="F13" s="83">
        <v>0</v>
      </c>
      <c r="G13" s="86">
        <f t="shared" si="0"/>
        <v>1.8E-3</v>
      </c>
      <c r="H13" s="91">
        <v>5.9999999999999995E-4</v>
      </c>
      <c r="N13" s="15" t="s">
        <v>29</v>
      </c>
      <c r="O13" s="40"/>
      <c r="P13" s="33">
        <v>44973</v>
      </c>
      <c r="Q13" s="33"/>
      <c r="R13" s="33">
        <v>45034</v>
      </c>
      <c r="S13" s="34"/>
      <c r="T13" s="33">
        <v>45093</v>
      </c>
      <c r="U13" s="35"/>
      <c r="V13" s="33">
        <v>45154</v>
      </c>
      <c r="W13" s="35"/>
      <c r="X13" s="31">
        <v>45216</v>
      </c>
      <c r="Y13" s="31"/>
      <c r="Z13" s="36">
        <v>45278</v>
      </c>
    </row>
    <row r="14" spans="1:40" ht="16.5" x14ac:dyDescent="0.35">
      <c r="A14" s="1" t="s">
        <v>17</v>
      </c>
      <c r="B14" s="24">
        <v>0.09</v>
      </c>
      <c r="C14" s="83">
        <f>1.3/1.06</f>
        <v>1.2264150943396226</v>
      </c>
      <c r="D14" s="83">
        <v>0</v>
      </c>
      <c r="E14" s="3">
        <v>0.6</v>
      </c>
      <c r="F14" s="83">
        <v>0</v>
      </c>
      <c r="G14" s="83">
        <f t="shared" si="0"/>
        <v>1.3</v>
      </c>
      <c r="H14" s="91">
        <v>5.9999999999999995E-4</v>
      </c>
      <c r="N14" s="15" t="s">
        <v>17</v>
      </c>
      <c r="O14" s="31">
        <v>44945</v>
      </c>
      <c r="P14" s="38"/>
      <c r="Q14" s="31">
        <v>45005</v>
      </c>
      <c r="R14" s="31">
        <v>45036</v>
      </c>
      <c r="S14" s="31">
        <v>45064</v>
      </c>
      <c r="T14" s="31">
        <v>45097</v>
      </c>
      <c r="U14" s="31">
        <v>45127</v>
      </c>
      <c r="V14" s="31">
        <v>45156</v>
      </c>
      <c r="W14" s="32">
        <v>45189</v>
      </c>
      <c r="X14" s="31">
        <v>45218</v>
      </c>
      <c r="Y14" s="31">
        <v>45250</v>
      </c>
      <c r="Z14" s="39"/>
    </row>
    <row r="15" spans="1:40" ht="16.5" x14ac:dyDescent="0.35">
      <c r="A15" s="6" t="s">
        <v>10</v>
      </c>
      <c r="B15" s="24">
        <v>0.13</v>
      </c>
      <c r="C15" s="83">
        <f>1.5/1.06</f>
        <v>1.4150943396226414</v>
      </c>
      <c r="D15" s="83">
        <v>0</v>
      </c>
      <c r="E15" s="3">
        <v>0.6</v>
      </c>
      <c r="F15" s="83">
        <v>0</v>
      </c>
      <c r="G15" s="83">
        <f t="shared" si="0"/>
        <v>1.5</v>
      </c>
      <c r="H15" s="91">
        <v>5.9999999999999995E-4</v>
      </c>
      <c r="N15" s="17" t="s">
        <v>19</v>
      </c>
      <c r="O15" s="40">
        <v>44946</v>
      </c>
      <c r="P15" s="34"/>
      <c r="Q15" s="42">
        <v>45002</v>
      </c>
      <c r="R15" s="38"/>
      <c r="S15" s="33">
        <v>45069</v>
      </c>
      <c r="T15" s="38"/>
      <c r="U15" s="43">
        <v>45126</v>
      </c>
      <c r="V15" s="44"/>
      <c r="W15" s="32">
        <v>45190</v>
      </c>
      <c r="X15" s="34"/>
      <c r="Y15" s="42">
        <v>45247</v>
      </c>
      <c r="Z15" s="41"/>
    </row>
    <row r="16" spans="1:40" ht="16.5" x14ac:dyDescent="0.35">
      <c r="A16" s="6" t="s">
        <v>21</v>
      </c>
      <c r="B16" s="24">
        <v>0.09</v>
      </c>
      <c r="C16" s="83">
        <f>1/1.06</f>
        <v>0.94339622641509424</v>
      </c>
      <c r="D16" s="83">
        <v>0</v>
      </c>
      <c r="E16" s="3">
        <v>0.6</v>
      </c>
      <c r="F16" s="83">
        <v>0</v>
      </c>
      <c r="G16" s="83">
        <f t="shared" si="0"/>
        <v>1</v>
      </c>
      <c r="H16" s="91">
        <v>5.9999999999999995E-4</v>
      </c>
      <c r="N16" s="17" t="s">
        <v>20</v>
      </c>
      <c r="O16" s="40">
        <v>44946</v>
      </c>
      <c r="P16" s="38"/>
      <c r="Q16" s="42">
        <v>45002</v>
      </c>
      <c r="R16" s="38"/>
      <c r="S16" s="33">
        <v>45069</v>
      </c>
      <c r="T16" s="38"/>
      <c r="U16" s="33">
        <v>45126</v>
      </c>
      <c r="V16" s="38"/>
      <c r="W16" s="32">
        <v>45190</v>
      </c>
      <c r="X16" s="34"/>
      <c r="Y16" s="33">
        <v>45247</v>
      </c>
      <c r="Z16" s="45"/>
    </row>
    <row r="17" spans="1:29" ht="16.5" x14ac:dyDescent="0.35">
      <c r="A17" s="6" t="s">
        <v>19</v>
      </c>
      <c r="B17" s="24">
        <v>0.09</v>
      </c>
      <c r="C17" s="83">
        <f>0.5/1.06</f>
        <v>0.47169811320754712</v>
      </c>
      <c r="D17" s="83">
        <v>0</v>
      </c>
      <c r="E17" s="3">
        <v>0.3</v>
      </c>
      <c r="F17" s="83">
        <v>0</v>
      </c>
      <c r="G17" s="83">
        <f t="shared" si="0"/>
        <v>0.5</v>
      </c>
      <c r="H17" s="91">
        <v>5.9999999999999995E-4</v>
      </c>
      <c r="N17" s="17" t="s">
        <v>28</v>
      </c>
      <c r="O17" s="40">
        <v>44946</v>
      </c>
      <c r="P17" s="38"/>
      <c r="Q17" s="42">
        <v>45002</v>
      </c>
      <c r="R17" s="38"/>
      <c r="S17" s="33">
        <v>45069</v>
      </c>
      <c r="T17" s="38"/>
      <c r="U17" s="33">
        <v>45126</v>
      </c>
      <c r="V17" s="38"/>
      <c r="W17" s="32">
        <v>45190</v>
      </c>
      <c r="X17" s="34"/>
      <c r="Y17" s="33">
        <v>45247</v>
      </c>
      <c r="Z17" s="45"/>
    </row>
    <row r="18" spans="1:29" ht="16.5" x14ac:dyDescent="0.35">
      <c r="A18" s="6" t="s">
        <v>20</v>
      </c>
      <c r="B18" s="24">
        <v>0.09</v>
      </c>
      <c r="C18" s="83">
        <f>0.5/1.06</f>
        <v>0.47169811320754712</v>
      </c>
      <c r="D18" s="83">
        <v>0</v>
      </c>
      <c r="E18" s="3">
        <v>0.4</v>
      </c>
      <c r="F18" s="83">
        <v>0</v>
      </c>
      <c r="G18" s="83">
        <f t="shared" si="0"/>
        <v>0.5</v>
      </c>
      <c r="H18" s="91">
        <v>5.9999999999999995E-4</v>
      </c>
      <c r="N18" s="17" t="s">
        <v>33</v>
      </c>
      <c r="O18" s="40">
        <v>44946</v>
      </c>
      <c r="P18" s="38"/>
      <c r="Q18" s="42">
        <v>45002</v>
      </c>
      <c r="R18" s="38"/>
      <c r="S18" s="33">
        <v>45069</v>
      </c>
      <c r="T18" s="38"/>
      <c r="U18" s="42">
        <v>45126</v>
      </c>
      <c r="V18" s="38"/>
      <c r="W18" s="32">
        <v>45190</v>
      </c>
      <c r="X18" s="34"/>
      <c r="Y18" s="42">
        <v>45247</v>
      </c>
      <c r="Z18" s="45"/>
    </row>
    <row r="19" spans="1:29" ht="16.5" x14ac:dyDescent="0.35">
      <c r="A19" s="6" t="s">
        <v>28</v>
      </c>
      <c r="B19" s="24">
        <v>0.09</v>
      </c>
      <c r="C19" s="83">
        <f>0.6/1.06</f>
        <v>0.56603773584905659</v>
      </c>
      <c r="D19" s="83">
        <v>0</v>
      </c>
      <c r="E19" s="3">
        <v>0.24</v>
      </c>
      <c r="F19" s="83">
        <v>0</v>
      </c>
      <c r="G19" s="83">
        <f t="shared" si="0"/>
        <v>0.6</v>
      </c>
      <c r="H19" s="91">
        <v>5.9999999999999995E-4</v>
      </c>
      <c r="N19" s="17" t="s">
        <v>10</v>
      </c>
      <c r="O19" s="40">
        <v>44956</v>
      </c>
      <c r="P19" s="33">
        <v>44985</v>
      </c>
      <c r="Q19" s="42">
        <v>45016</v>
      </c>
      <c r="R19" s="33">
        <v>45044</v>
      </c>
      <c r="S19" s="33">
        <v>45077</v>
      </c>
      <c r="T19" s="33">
        <v>45107</v>
      </c>
      <c r="U19" s="40">
        <v>45138</v>
      </c>
      <c r="V19" s="33">
        <v>45169</v>
      </c>
      <c r="W19" s="40">
        <v>44834</v>
      </c>
      <c r="X19" s="33">
        <v>45230</v>
      </c>
      <c r="Y19" s="33">
        <v>45260</v>
      </c>
      <c r="Z19" s="41">
        <v>45289</v>
      </c>
    </row>
    <row r="20" spans="1:29" ht="16.5" x14ac:dyDescent="0.35">
      <c r="A20" s="6" t="s">
        <v>33</v>
      </c>
      <c r="B20" s="24">
        <v>0.13</v>
      </c>
      <c r="C20" s="83">
        <f>0.8/1.06</f>
        <v>0.75471698113207553</v>
      </c>
      <c r="D20" s="83">
        <v>0</v>
      </c>
      <c r="E20" s="3">
        <v>0.3</v>
      </c>
      <c r="F20" s="83">
        <v>0</v>
      </c>
      <c r="G20" s="83">
        <f t="shared" si="0"/>
        <v>0.8</v>
      </c>
      <c r="H20" s="91">
        <v>5.9999999999999995E-4</v>
      </c>
      <c r="N20" s="17" t="s">
        <v>21</v>
      </c>
      <c r="O20" s="40">
        <v>44956</v>
      </c>
      <c r="P20" s="33">
        <v>44985</v>
      </c>
      <c r="Q20" s="42">
        <v>45016</v>
      </c>
      <c r="R20" s="33">
        <v>45044</v>
      </c>
      <c r="S20" s="33">
        <v>45077</v>
      </c>
      <c r="T20" s="33">
        <v>45107</v>
      </c>
      <c r="U20" s="40">
        <v>45138</v>
      </c>
      <c r="V20" s="33">
        <v>45169</v>
      </c>
      <c r="W20" s="40">
        <v>44834</v>
      </c>
      <c r="X20" s="33">
        <v>45230</v>
      </c>
      <c r="Y20" s="33">
        <v>45260</v>
      </c>
      <c r="Z20" s="41">
        <v>45289</v>
      </c>
    </row>
    <row r="21" spans="1:29" ht="16.5" x14ac:dyDescent="0.35">
      <c r="A21" s="8" t="s">
        <v>22</v>
      </c>
      <c r="B21" s="24">
        <v>0.09</v>
      </c>
      <c r="C21" s="83">
        <f>0.8/1.06</f>
        <v>0.75471698113207553</v>
      </c>
      <c r="D21" s="83">
        <v>0</v>
      </c>
      <c r="E21" s="3">
        <v>1.72</v>
      </c>
      <c r="F21" s="83">
        <v>0</v>
      </c>
      <c r="G21" s="83">
        <f t="shared" si="0"/>
        <v>0.8</v>
      </c>
      <c r="H21" s="91">
        <v>5.9999999999999995E-4</v>
      </c>
      <c r="N21" s="18" t="s">
        <v>22</v>
      </c>
      <c r="O21" s="40">
        <v>44944</v>
      </c>
      <c r="P21" s="38"/>
      <c r="Q21" s="33">
        <v>45002</v>
      </c>
      <c r="R21" s="38"/>
      <c r="S21" s="33">
        <v>45063</v>
      </c>
      <c r="T21" s="38"/>
      <c r="U21" s="33">
        <v>45126</v>
      </c>
      <c r="V21" s="38"/>
      <c r="W21" s="33">
        <v>45188</v>
      </c>
      <c r="X21" s="34"/>
      <c r="Y21" s="42">
        <v>45247</v>
      </c>
      <c r="Z21" s="45"/>
    </row>
    <row r="22" spans="1:29" ht="16.5" x14ac:dyDescent="0.35">
      <c r="A22" s="8" t="s">
        <v>23</v>
      </c>
      <c r="B22" s="24">
        <v>0.13</v>
      </c>
      <c r="C22" s="83">
        <f>0.5/1.06</f>
        <v>0.47169811320754712</v>
      </c>
      <c r="D22" s="83">
        <v>0</v>
      </c>
      <c r="E22" s="3">
        <v>0.6</v>
      </c>
      <c r="F22" s="83">
        <v>0</v>
      </c>
      <c r="G22" s="83">
        <f t="shared" si="0"/>
        <v>0.5</v>
      </c>
      <c r="H22" s="91">
        <v>5.9999999999999995E-4</v>
      </c>
      <c r="N22" s="18" t="s">
        <v>23</v>
      </c>
      <c r="O22" s="40">
        <v>44944</v>
      </c>
      <c r="P22" s="38"/>
      <c r="Q22" s="33">
        <v>45002</v>
      </c>
      <c r="R22" s="38"/>
      <c r="S22" s="33">
        <v>45063</v>
      </c>
      <c r="T22" s="38"/>
      <c r="U22" s="33">
        <v>45126</v>
      </c>
      <c r="V22" s="38"/>
      <c r="W22" s="33">
        <v>45188</v>
      </c>
      <c r="X22" s="34"/>
      <c r="Y22" s="42">
        <v>45247</v>
      </c>
      <c r="Z22" s="45"/>
    </row>
    <row r="23" spans="1:29" ht="17.25" thickBot="1" x14ac:dyDescent="0.4">
      <c r="A23" s="10" t="s">
        <v>24</v>
      </c>
      <c r="B23" s="76">
        <v>0.09</v>
      </c>
      <c r="C23" s="88">
        <f>3/1.06</f>
        <v>2.8301886792452828</v>
      </c>
      <c r="D23" s="88">
        <v>0</v>
      </c>
      <c r="E23" s="12">
        <v>1.2</v>
      </c>
      <c r="F23" s="88">
        <v>0</v>
      </c>
      <c r="G23" s="88">
        <f>C23*1.06</f>
        <v>3</v>
      </c>
      <c r="H23" s="92">
        <v>5.9999999999999995E-4</v>
      </c>
      <c r="N23" s="19" t="s">
        <v>24</v>
      </c>
      <c r="O23" s="77">
        <v>44944</v>
      </c>
      <c r="P23" s="46"/>
      <c r="Q23" s="47">
        <v>45002</v>
      </c>
      <c r="R23" s="46"/>
      <c r="S23" s="47">
        <v>45063</v>
      </c>
      <c r="T23" s="46"/>
      <c r="U23" s="47">
        <v>45126</v>
      </c>
      <c r="V23" s="46"/>
      <c r="W23" s="48">
        <v>45188</v>
      </c>
      <c r="X23" s="49"/>
      <c r="Y23" s="49"/>
      <c r="Z23" s="50"/>
    </row>
    <row r="24" spans="1:29" ht="14.25" thickBot="1" x14ac:dyDescent="0.2"/>
    <row r="25" spans="1:29" s="28" customFormat="1" ht="17.25" thickBot="1" x14ac:dyDescent="0.4">
      <c r="A25" s="25" t="s">
        <v>34</v>
      </c>
      <c r="B25" s="26" t="s">
        <v>12</v>
      </c>
      <c r="C25" s="26" t="s">
        <v>0</v>
      </c>
      <c r="D25" s="26" t="s">
        <v>1</v>
      </c>
      <c r="E25" s="26" t="s">
        <v>2</v>
      </c>
      <c r="F25" s="26" t="s">
        <v>3</v>
      </c>
      <c r="G25" s="26" t="s">
        <v>4</v>
      </c>
      <c r="H25" s="26" t="s">
        <v>5</v>
      </c>
      <c r="I25" s="26" t="s">
        <v>6</v>
      </c>
      <c r="J25" s="26" t="s">
        <v>7</v>
      </c>
      <c r="K25" s="26" t="s">
        <v>8</v>
      </c>
      <c r="L25" s="26" t="s">
        <v>9</v>
      </c>
      <c r="M25" s="78" t="s">
        <v>11</v>
      </c>
      <c r="N25" s="80" t="s">
        <v>50</v>
      </c>
      <c r="O25" s="79" t="s">
        <v>12</v>
      </c>
      <c r="P25" s="52" t="s">
        <v>0</v>
      </c>
      <c r="Q25" s="52" t="s">
        <v>1</v>
      </c>
      <c r="R25" s="52" t="s">
        <v>2</v>
      </c>
      <c r="S25" s="52" t="s">
        <v>3</v>
      </c>
      <c r="T25" s="52" t="s">
        <v>4</v>
      </c>
      <c r="U25" s="52" t="s">
        <v>5</v>
      </c>
      <c r="V25" s="52" t="s">
        <v>6</v>
      </c>
      <c r="W25" s="52" t="s">
        <v>7</v>
      </c>
      <c r="X25" s="52" t="s">
        <v>8</v>
      </c>
      <c r="Y25" s="52" t="s">
        <v>9</v>
      </c>
      <c r="Z25" s="53" t="s">
        <v>11</v>
      </c>
    </row>
    <row r="26" spans="1:29" ht="16.5" x14ac:dyDescent="0.35">
      <c r="A26" s="73" t="s">
        <v>18</v>
      </c>
      <c r="B26" s="4">
        <f>RTD("wdf.rtq", ,"SC01M.INE", "rt_latest","RT_Price")</f>
        <v>530</v>
      </c>
      <c r="C26" s="3">
        <f>RTD("wdf.rtq", ,"SC02M.INE", "rt_latest","RT_Price")</f>
        <v>544.4</v>
      </c>
      <c r="D26" s="3">
        <f>RTD("wdf.rtq", ,"SC03M.INE", "rt_latest","RT_Price")</f>
        <v>553.70000000000005</v>
      </c>
      <c r="E26" s="3">
        <f>RTD("wdf.rtq", ,"SC04M.INE", "rt_latest","RT_Price")</f>
        <v>551.9</v>
      </c>
      <c r="F26" s="3">
        <f>RTD("wdf.rtq", ,"SC05M.INE", "rt_latest","RT_Price")</f>
        <v>552.5</v>
      </c>
      <c r="G26" s="3">
        <f>RTD("wdf.rtq", ,"SC06M.INE", "rt_latest","RT_Price")</f>
        <v>551</v>
      </c>
      <c r="H26" s="4">
        <f>RTD("wdf.rtq", ,"SC07M.INE", "rt_latest","RT_Price")</f>
        <v>550.70000000000005</v>
      </c>
      <c r="I26" s="3">
        <f>RTD("wdf.rtq", ,"SC08M.INE", "rt_latest","RT_Price")</f>
        <v>549</v>
      </c>
      <c r="J26" s="4">
        <f>RTD("wdf.rtq", ,"SC09M.INE", "rt_latest","RT_Price")</f>
        <v>547.6</v>
      </c>
      <c r="K26" s="3">
        <f>RTD("wdf.rtq", ,"SC10M.INE", "rt_latest","RT_Price")</f>
        <v>557.30000000000007</v>
      </c>
      <c r="L26" s="3">
        <f>RTD("wdf.rtq", ,"SC11M.INE", "rt_latest","RT_Price")</f>
        <v>539.79999999999995</v>
      </c>
      <c r="M26" s="3">
        <f>RTD("wdf.rtq", ,"SC12M.INE", "rt_latest","RT_Price")</f>
        <v>526.70000000000005</v>
      </c>
      <c r="N26" s="81" t="s">
        <v>18</v>
      </c>
      <c r="O26" s="57">
        <f t="shared" ref="O26:Y26" si="1">P2-O2</f>
        <v>32</v>
      </c>
      <c r="P26" s="58">
        <f t="shared" si="1"/>
        <v>36</v>
      </c>
      <c r="Q26" s="58">
        <f t="shared" si="1"/>
        <v>31</v>
      </c>
      <c r="R26" s="58">
        <f t="shared" si="1"/>
        <v>35</v>
      </c>
      <c r="S26" s="58">
        <f t="shared" si="1"/>
        <v>26</v>
      </c>
      <c r="T26" s="58">
        <f t="shared" si="1"/>
        <v>30</v>
      </c>
      <c r="U26" s="58">
        <f t="shared" si="1"/>
        <v>31</v>
      </c>
      <c r="V26" s="58">
        <f t="shared" si="1"/>
        <v>31</v>
      </c>
      <c r="W26" s="59">
        <f t="shared" si="1"/>
        <v>36</v>
      </c>
      <c r="X26" s="58">
        <f t="shared" si="1"/>
        <v>25</v>
      </c>
      <c r="Y26" s="58">
        <f t="shared" si="1"/>
        <v>30</v>
      </c>
      <c r="Z26" s="60">
        <f t="shared" ref="Z26:Z32" si="2">O2-Z2</f>
        <v>-343</v>
      </c>
      <c r="AA26" s="66" t="s">
        <v>53</v>
      </c>
      <c r="AB26" s="66"/>
      <c r="AC26" s="66"/>
    </row>
    <row r="27" spans="1:29" ht="16.5" x14ac:dyDescent="0.35">
      <c r="A27" s="16" t="s">
        <v>27</v>
      </c>
      <c r="B27" s="4">
        <f>RTD("wdf.rtq", ,"BC01M.INE", "rt_latest","RT_Price")</f>
        <v>58720</v>
      </c>
      <c r="C27" s="3">
        <f>RTD("wdf.rtq", ,"BC02M.INE", "rt_latest","RT_Price")</f>
        <v>61430</v>
      </c>
      <c r="D27" s="3">
        <f>RTD("wdf.rtq", ,"BC03M.INE", "rt_latest","RT_Price")</f>
        <v>60760</v>
      </c>
      <c r="E27" s="3">
        <f>RTD("wdf.rtq", ,"BC04M.INE", "rt_latest","RT_Price")</f>
        <v>60930</v>
      </c>
      <c r="F27" s="3">
        <f>RTD("wdf.rtq", ,"BC05M.INE", "rt_latest","RT_Price")</f>
        <v>60910</v>
      </c>
      <c r="G27" s="3">
        <f>RTD("wdf.rtq", ,"BC06M.INE", "rt_latest","RT_Price")</f>
        <v>60810</v>
      </c>
      <c r="H27" s="4">
        <f>RTD("wdf.rtq", ,"BC07M.INE", "rt_latest","RT_Price")</f>
        <v>61010</v>
      </c>
      <c r="I27" s="3">
        <f>RTD("wdf.rtq", ,"BC08M.INE", "rt_latest","RT_Price")</f>
        <v>61270</v>
      </c>
      <c r="J27" s="4">
        <f>RTD("wdf.rtq", ,"BC09M.INE", "rt_latest","RT_Price")</f>
        <v>60400</v>
      </c>
      <c r="K27" s="3">
        <f>RTD("wdf.rtq", ,"BC10M.INE", "rt_latest","RT_Price")</f>
        <v>59860</v>
      </c>
      <c r="L27" s="3">
        <f>RTD("wdf.rtq", ,"BC11M.INE", "rt_latest","RT_Price")</f>
        <v>59690</v>
      </c>
      <c r="M27" s="3">
        <f>RTD("wdf.rtq", ,"BC12M.INE", "rt_latest","RT_Price")</f>
        <v>60930</v>
      </c>
      <c r="N27" s="5" t="s">
        <v>27</v>
      </c>
      <c r="O27" s="51">
        <f t="shared" ref="O27:Y27" si="3">P3-O3</f>
        <v>30</v>
      </c>
      <c r="P27" s="54">
        <f>Q3-P3</f>
        <v>28</v>
      </c>
      <c r="Q27" s="54">
        <f t="shared" si="3"/>
        <v>33</v>
      </c>
      <c r="R27" s="54">
        <f t="shared" si="3"/>
        <v>28</v>
      </c>
      <c r="S27" s="54">
        <f t="shared" si="3"/>
        <v>31</v>
      </c>
      <c r="T27" s="54">
        <f t="shared" si="3"/>
        <v>32</v>
      </c>
      <c r="U27" s="54">
        <f t="shared" si="3"/>
        <v>29</v>
      </c>
      <c r="V27" s="54">
        <f t="shared" si="3"/>
        <v>31</v>
      </c>
      <c r="W27" s="56">
        <f t="shared" si="3"/>
        <v>31</v>
      </c>
      <c r="X27" s="54">
        <f t="shared" si="3"/>
        <v>30</v>
      </c>
      <c r="Y27" s="54">
        <f t="shared" si="3"/>
        <v>30</v>
      </c>
      <c r="Z27" s="55">
        <f t="shared" si="2"/>
        <v>-333</v>
      </c>
      <c r="AA27" s="67" t="s">
        <v>54</v>
      </c>
      <c r="AB27" s="67"/>
      <c r="AC27" s="67"/>
    </row>
    <row r="28" spans="1:29" ht="16.5" x14ac:dyDescent="0.35">
      <c r="A28" s="15" t="s">
        <v>13</v>
      </c>
      <c r="B28" s="4">
        <f>RTD("wdf.rtq", ,"CU01M.SHF", "rt_latest","RT_Price")</f>
        <v>67590</v>
      </c>
      <c r="C28" s="3">
        <f>RTD("wdf.rtq", ,"CU02M.SHF", "rt_latest","RT_Price")</f>
        <v>68130</v>
      </c>
      <c r="D28" s="3">
        <f>RTD("wdf.rtq", ,"CU03M.SHF", "rt_latest","RT_Price")</f>
        <v>68270</v>
      </c>
      <c r="E28" s="3">
        <f>RTD("wdf.rtq", ,"CU04M.SHF", "rt_latest","RT_Price")</f>
        <v>68310</v>
      </c>
      <c r="F28" s="3">
        <f>RTD("wdf.rtq", ,"CU05M.SHF", "rt_latest","RT_Price")</f>
        <v>68260</v>
      </c>
      <c r="G28" s="3">
        <f>RTD("wdf.rtq", ,"CU06M.SHF", "rt_latest","RT_Price")</f>
        <v>68150</v>
      </c>
      <c r="H28" s="4">
        <f>RTD("wdf.rtq", ,"CU07M.SHF", "rt_latest","RT_Price")</f>
        <v>68030</v>
      </c>
      <c r="I28" s="3">
        <f>RTD("wdf.rtq", ,"CU08M.SHF", "rt_latest","RT_Price")</f>
        <v>67930</v>
      </c>
      <c r="J28" s="4">
        <f>RTD("wdf.rtq", ,"CU09M.SHF", "rt_latest","RT_Price")</f>
        <v>67900</v>
      </c>
      <c r="K28" s="3">
        <f>RTD("wdf.rtq", ,"CU10M.SHF", "rt_latest","RT_Price")</f>
        <v>67860</v>
      </c>
      <c r="L28" s="3">
        <f>RTD("wdf.rtq", ,"CU11M.SHF", "rt_latest","RT_Price")</f>
        <v>67790</v>
      </c>
      <c r="M28" s="3">
        <f>RTD("wdf.rtq", ,"CU12M.SHF", "rt_latest","RT_Price")</f>
        <v>67370</v>
      </c>
      <c r="N28" s="1" t="s">
        <v>13</v>
      </c>
      <c r="O28" s="51">
        <f t="shared" ref="O28:Y28" si="4">P4-O4</f>
        <v>32</v>
      </c>
      <c r="P28" s="54">
        <f t="shared" si="4"/>
        <v>28</v>
      </c>
      <c r="Q28" s="54">
        <f t="shared" si="4"/>
        <v>31</v>
      </c>
      <c r="R28" s="54">
        <f t="shared" si="4"/>
        <v>28</v>
      </c>
      <c r="S28" s="54">
        <f t="shared" si="4"/>
        <v>33</v>
      </c>
      <c r="T28" s="54">
        <f t="shared" si="4"/>
        <v>30</v>
      </c>
      <c r="U28" s="54">
        <f t="shared" si="4"/>
        <v>29</v>
      </c>
      <c r="V28" s="54">
        <f t="shared" si="4"/>
        <v>33</v>
      </c>
      <c r="W28" s="56">
        <f t="shared" si="4"/>
        <v>33</v>
      </c>
      <c r="X28" s="54">
        <f t="shared" si="4"/>
        <v>30</v>
      </c>
      <c r="Y28" s="54">
        <f t="shared" si="4"/>
        <v>30</v>
      </c>
      <c r="Z28" s="55">
        <f t="shared" si="2"/>
        <v>-337</v>
      </c>
      <c r="AA28" s="70" t="s">
        <v>55</v>
      </c>
      <c r="AB28" s="70"/>
      <c r="AC28" s="70"/>
    </row>
    <row r="29" spans="1:29" ht="16.5" x14ac:dyDescent="0.35">
      <c r="A29" s="15" t="s">
        <v>14</v>
      </c>
      <c r="B29" s="4">
        <f>RTD("wdf.rtq", ,"AL01M.SHF", "rt_latest","RT_Price")</f>
        <v>18780</v>
      </c>
      <c r="C29" s="3">
        <f>RTD("wdf.rtq", ,"AL02M.SHF", "rt_latest","RT_Price")</f>
        <v>18900</v>
      </c>
      <c r="D29" s="3">
        <f>RTD("wdf.rtq", ,"AL03M.SHF", "rt_latest","RT_Price")</f>
        <v>18935</v>
      </c>
      <c r="E29" s="3">
        <f>RTD("wdf.rtq", ,"AL04M.SHF", "rt_latest","RT_Price")</f>
        <v>18955</v>
      </c>
      <c r="F29" s="3">
        <f>RTD("wdf.rtq", ,"AL05M.SHF", "rt_latest","RT_Price")</f>
        <v>18945</v>
      </c>
      <c r="G29" s="3">
        <f>RTD("wdf.rtq", ,"AL06M.SHF", "rt_latest","RT_Price")</f>
        <v>18895</v>
      </c>
      <c r="H29" s="4">
        <f>RTD("wdf.rtq", ,"AL07M.SHF", "rt_latest","RT_Price")</f>
        <v>18870</v>
      </c>
      <c r="I29" s="3">
        <f>RTD("wdf.rtq", ,"AL08M.SHF", "rt_latest","RT_Price")</f>
        <v>18860</v>
      </c>
      <c r="J29" s="4">
        <f>RTD("wdf.rtq", ,"AL09M.SHF", "rt_latest","RT_Price")</f>
        <v>18855</v>
      </c>
      <c r="K29" s="3">
        <f>RTD("wdf.rtq", ,"AL10M.SHF", "rt_latest","RT_Price")</f>
        <v>18845</v>
      </c>
      <c r="L29" s="3">
        <f>RTD("wdf.rtq", ,"AL11M.SHF", "rt_latest","RT_Price")</f>
        <v>18870</v>
      </c>
      <c r="M29" s="3">
        <f>RTD("wdf.rtq", ,"AL12M.SHF", "rt_latest","RT_Price")</f>
        <v>18800</v>
      </c>
      <c r="N29" s="1" t="s">
        <v>14</v>
      </c>
      <c r="O29" s="51">
        <f t="shared" ref="O29:Y29" si="5">P5-O5</f>
        <v>32</v>
      </c>
      <c r="P29" s="54">
        <f t="shared" si="5"/>
        <v>28</v>
      </c>
      <c r="Q29" s="54">
        <f t="shared" si="5"/>
        <v>31</v>
      </c>
      <c r="R29" s="54">
        <f t="shared" si="5"/>
        <v>28</v>
      </c>
      <c r="S29" s="54">
        <f t="shared" si="5"/>
        <v>33</v>
      </c>
      <c r="T29" s="54">
        <f t="shared" si="5"/>
        <v>30</v>
      </c>
      <c r="U29" s="54">
        <f t="shared" si="5"/>
        <v>29</v>
      </c>
      <c r="V29" s="54">
        <f t="shared" si="5"/>
        <v>33</v>
      </c>
      <c r="W29" s="56">
        <f t="shared" si="5"/>
        <v>33</v>
      </c>
      <c r="X29" s="54">
        <f t="shared" si="5"/>
        <v>30</v>
      </c>
      <c r="Y29" s="54">
        <f t="shared" si="5"/>
        <v>30</v>
      </c>
      <c r="Z29" s="55">
        <f t="shared" si="2"/>
        <v>-337</v>
      </c>
    </row>
    <row r="30" spans="1:29" ht="16.5" x14ac:dyDescent="0.35">
      <c r="A30" s="15" t="s">
        <v>15</v>
      </c>
      <c r="B30" s="4">
        <f>RTD("wdf.rtq", ,"ZN01M.SHF", "rt_latest","RT_Price")</f>
        <v>22750</v>
      </c>
      <c r="C30" s="3">
        <f>RTD("wdf.rtq", ,"ZN02M.SHF", "rt_latest","RT_Price")</f>
        <v>23280</v>
      </c>
      <c r="D30" s="3">
        <f>RTD("wdf.rtq", ,"ZN03M.SHF", "rt_latest","RT_Price")</f>
        <v>23310</v>
      </c>
      <c r="E30" s="3">
        <f>RTD("wdf.rtq", ,"ZN04M.SHF", "rt_latest","RT_Price")</f>
        <v>23315</v>
      </c>
      <c r="F30" s="3">
        <f>RTD("wdf.rtq", ,"ZN05M.SHF", "rt_latest","RT_Price")</f>
        <v>23280</v>
      </c>
      <c r="G30" s="3">
        <f>RTD("wdf.rtq", ,"ZN06M.SHF", "rt_latest","RT_Price")</f>
        <v>23210</v>
      </c>
      <c r="H30" s="4">
        <f>RTD("wdf.rtq", ,"ZN07M.SHF", "rt_latest","RT_Price")</f>
        <v>23115</v>
      </c>
      <c r="I30" s="3">
        <f>RTD("wdf.rtq", ,"ZN08M.SHF", "rt_latest","RT_Price")</f>
        <v>23280</v>
      </c>
      <c r="J30" s="4">
        <f>RTD("wdf.rtq", ,"ZN09M.SHF", "rt_latest","RT_Price")</f>
        <v>22980</v>
      </c>
      <c r="K30" s="3">
        <f>RTD("wdf.rtq", ,"ZN10M.SHF", "rt_latest","RT_Price")</f>
        <v>22930</v>
      </c>
      <c r="L30" s="3">
        <f>RTD("wdf.rtq", ,"ZN11M.SHF", "rt_latest","RT_Price")</f>
        <v>22850</v>
      </c>
      <c r="M30" s="3">
        <f>RTD("wdf.rtq", ,"ZN12M.SHF", "rt_latest","RT_Price")</f>
        <v>22800</v>
      </c>
      <c r="N30" s="1" t="s">
        <v>15</v>
      </c>
      <c r="O30" s="51">
        <f t="shared" ref="O30:Y30" si="6">P6-O6</f>
        <v>32</v>
      </c>
      <c r="P30" s="54">
        <f t="shared" si="6"/>
        <v>28</v>
      </c>
      <c r="Q30" s="54">
        <f t="shared" si="6"/>
        <v>31</v>
      </c>
      <c r="R30" s="54">
        <f t="shared" si="6"/>
        <v>28</v>
      </c>
      <c r="S30" s="54">
        <f t="shared" si="6"/>
        <v>33</v>
      </c>
      <c r="T30" s="54">
        <f t="shared" si="6"/>
        <v>30</v>
      </c>
      <c r="U30" s="54">
        <f t="shared" si="6"/>
        <v>29</v>
      </c>
      <c r="V30" s="54">
        <f t="shared" si="6"/>
        <v>33</v>
      </c>
      <c r="W30" s="56">
        <f t="shared" si="6"/>
        <v>33</v>
      </c>
      <c r="X30" s="54">
        <f t="shared" si="6"/>
        <v>30</v>
      </c>
      <c r="Y30" s="54">
        <f t="shared" si="6"/>
        <v>30</v>
      </c>
      <c r="Z30" s="55">
        <f t="shared" si="2"/>
        <v>-337</v>
      </c>
    </row>
    <row r="31" spans="1:29" ht="16.5" x14ac:dyDescent="0.35">
      <c r="A31" s="15" t="s">
        <v>25</v>
      </c>
      <c r="B31" s="4">
        <f>RTD("wdf.rtq", ,"PB01M.SHF", "rt_latest","RT_Price")</f>
        <v>15470</v>
      </c>
      <c r="C31" s="3">
        <f>RTD("wdf.rtq", ,"PB02M.SHF", "rt_latest","RT_Price")</f>
        <v>15180</v>
      </c>
      <c r="D31" s="3">
        <f>RTD("wdf.rtq", ,"PB03M.SHF", "rt_latest","RT_Price")</f>
        <v>15245</v>
      </c>
      <c r="E31" s="3">
        <f>RTD("wdf.rtq", ,"PB04M.SHF", "rt_latest","RT_Price")</f>
        <v>15270</v>
      </c>
      <c r="F31" s="3">
        <f>RTD("wdf.rtq", ,"PB05M.SHF", "rt_latest","RT_Price")</f>
        <v>15285</v>
      </c>
      <c r="G31" s="3">
        <f>RTD("wdf.rtq", ,"PB06M.SHF", "rt_latest","RT_Price")</f>
        <v>15300</v>
      </c>
      <c r="H31" s="4">
        <f>RTD("wdf.rtq", ,"PB07M.SHF", "rt_latest","RT_Price")</f>
        <v>15280</v>
      </c>
      <c r="I31" s="3">
        <f>RTD("wdf.rtq", ,"PB08M.SHF", "rt_latest","RT_Price")</f>
        <v>15300</v>
      </c>
      <c r="J31" s="4">
        <f>RTD("wdf.rtq", ,"PB09M.SHF", "rt_latest","RT_Price")</f>
        <v>15365</v>
      </c>
      <c r="K31" s="3">
        <f>RTD("wdf.rtq", ,"PB10M.SHF", "rt_latest","RT_Price")</f>
        <v>15445</v>
      </c>
      <c r="L31" s="3">
        <f>RTD("wdf.rtq", ,"PB11M.SHF", "rt_latest","RT_Price")</f>
        <v>15390</v>
      </c>
      <c r="M31" s="3">
        <f>RTD("wdf.rtq", ,"PB12M.SHF", "rt_latest","RT_Price")</f>
        <v>15365</v>
      </c>
      <c r="N31" s="1" t="s">
        <v>25</v>
      </c>
      <c r="O31" s="51">
        <f t="shared" ref="O31:Y31" si="7">P7-O7</f>
        <v>32</v>
      </c>
      <c r="P31" s="54">
        <f t="shared" si="7"/>
        <v>28</v>
      </c>
      <c r="Q31" s="54">
        <f t="shared" si="7"/>
        <v>31</v>
      </c>
      <c r="R31" s="54">
        <f t="shared" si="7"/>
        <v>28</v>
      </c>
      <c r="S31" s="54">
        <f t="shared" si="7"/>
        <v>33</v>
      </c>
      <c r="T31" s="54">
        <f t="shared" si="7"/>
        <v>30</v>
      </c>
      <c r="U31" s="54">
        <f t="shared" si="7"/>
        <v>29</v>
      </c>
      <c r="V31" s="54">
        <f t="shared" si="7"/>
        <v>33</v>
      </c>
      <c r="W31" s="56">
        <f t="shared" si="7"/>
        <v>33</v>
      </c>
      <c r="X31" s="54">
        <f t="shared" si="7"/>
        <v>30</v>
      </c>
      <c r="Y31" s="54">
        <f t="shared" si="7"/>
        <v>30</v>
      </c>
      <c r="Z31" s="55">
        <f t="shared" si="2"/>
        <v>-337</v>
      </c>
    </row>
    <row r="32" spans="1:29" ht="16.5" x14ac:dyDescent="0.35">
      <c r="A32" s="15" t="s">
        <v>26</v>
      </c>
      <c r="B32" s="4">
        <f>RTD("wdf.rtq", ,"NI01M.SHF", "rt_latest","RT_Price")</f>
        <v>192750</v>
      </c>
      <c r="C32" s="3">
        <f>RTD("wdf.rtq", ,"NI02M.SHF", "rt_latest","RT_Price")</f>
        <v>213760</v>
      </c>
      <c r="D32" s="3">
        <f>RTD("wdf.rtq", ,"NI03M.SHF", "rt_latest","RT_Price")</f>
        <v>208990</v>
      </c>
      <c r="E32" s="3">
        <f>RTD("wdf.rtq", ,"NI04M.SHF", "rt_latest","RT_Price")</f>
        <v>205790</v>
      </c>
      <c r="F32" s="3">
        <f>RTD("wdf.rtq", ,"NI05M.SHF", "rt_latest","RT_Price")</f>
        <v>203010</v>
      </c>
      <c r="G32" s="3">
        <f>RTD("wdf.rtq", ,"NI06M.SHF", "rt_latest","RT_Price")</f>
        <v>201230</v>
      </c>
      <c r="H32" s="4">
        <f>RTD("wdf.rtq", ,"NI07M.SHF", "rt_latest","RT_Price")</f>
        <v>200700</v>
      </c>
      <c r="I32" s="3">
        <f>RTD("wdf.rtq", ,"NI08M.SHF", "rt_latest","RT_Price")</f>
        <v>198880</v>
      </c>
      <c r="J32" s="4">
        <f>RTD("wdf.rtq", ,"NI09M.SHF", "rt_latest","RT_Price")</f>
        <v>195140</v>
      </c>
      <c r="K32" s="3">
        <f>RTD("wdf.rtq", ,"NI10M.SHF", "rt_latest","RT_Price")</f>
        <v>194660</v>
      </c>
      <c r="L32" s="3">
        <f>RTD("wdf.rtq", ,"NI11M.SHF", "rt_latest","RT_Price")</f>
        <v>195490</v>
      </c>
      <c r="M32" s="3">
        <f>RTD("wdf.rtq", ,"NI12M.SHF", "rt_latest","RT_Price")</f>
        <v>192470</v>
      </c>
      <c r="N32" s="1" t="s">
        <v>26</v>
      </c>
      <c r="O32" s="51">
        <f t="shared" ref="O32:Y32" si="8">P8-O8</f>
        <v>32</v>
      </c>
      <c r="P32" s="54">
        <f t="shared" si="8"/>
        <v>28</v>
      </c>
      <c r="Q32" s="54">
        <f t="shared" si="8"/>
        <v>31</v>
      </c>
      <c r="R32" s="54">
        <f t="shared" si="8"/>
        <v>28</v>
      </c>
      <c r="S32" s="54">
        <f t="shared" si="8"/>
        <v>33</v>
      </c>
      <c r="T32" s="54">
        <f t="shared" si="8"/>
        <v>30</v>
      </c>
      <c r="U32" s="54">
        <f t="shared" si="8"/>
        <v>29</v>
      </c>
      <c r="V32" s="54">
        <f t="shared" si="8"/>
        <v>33</v>
      </c>
      <c r="W32" s="56">
        <f t="shared" si="8"/>
        <v>33</v>
      </c>
      <c r="X32" s="54">
        <f t="shared" si="8"/>
        <v>30</v>
      </c>
      <c r="Y32" s="54">
        <f t="shared" si="8"/>
        <v>30</v>
      </c>
      <c r="Z32" s="55">
        <f t="shared" si="2"/>
        <v>-337</v>
      </c>
    </row>
    <row r="33" spans="1:26" ht="16.5" x14ac:dyDescent="0.35">
      <c r="A33" s="15" t="s">
        <v>16</v>
      </c>
      <c r="B33" s="4">
        <f>RTD("wdf.rtq", ,"AG01M.SHF", "rt_latest","RT_Price")</f>
        <v>5070</v>
      </c>
      <c r="C33" s="3">
        <f>RTD("wdf.rtq", ,"AG02M.SHF", "rt_latest","RT_Price")</f>
        <v>4961</v>
      </c>
      <c r="D33" s="3">
        <f>RTD("wdf.rtq", ,"AG03M.SHF", "rt_latest","RT_Price")</f>
        <v>4968</v>
      </c>
      <c r="E33" s="3">
        <f>RTD("wdf.rtq", ,"AG04M.SHF", "rt_latest","RT_Price")</f>
        <v>4975</v>
      </c>
      <c r="F33" s="3">
        <f>RTD("wdf.rtq", ,"AG05M.SHF", "rt_latest","RT_Price")</f>
        <v>4983</v>
      </c>
      <c r="G33" s="3">
        <f>RTD("wdf.rtq", ,"AG06M.SHF", "rt_latest","RT_Price")</f>
        <v>4991</v>
      </c>
      <c r="H33" s="4">
        <f>RTD("wdf.rtq", ,"AG07M.SHF", "rt_latest","RT_Price")</f>
        <v>5001</v>
      </c>
      <c r="I33" s="3">
        <f>RTD("wdf.rtq", ,"AG08M.SHF", "rt_latest","RT_Price")</f>
        <v>5014</v>
      </c>
      <c r="J33" s="4">
        <f>RTD("wdf.rtq", ,"AG09M.SHF", "rt_latest","RT_Price")</f>
        <v>5026</v>
      </c>
      <c r="K33" s="3">
        <f>RTD("wdf.rtq", ,"AG10M.SHF", "rt_latest","RT_Price")</f>
        <v>5033</v>
      </c>
      <c r="L33" s="3">
        <f>RTD("wdf.rtq", ,"AG11M.SHF", "rt_latest","RT_Price")</f>
        <v>5045</v>
      </c>
      <c r="M33" s="3">
        <f>RTD("wdf.rtq", ,"AG12M.SHF", "rt_latest","RT_Price")</f>
        <v>5050</v>
      </c>
      <c r="N33" s="1" t="s">
        <v>16</v>
      </c>
      <c r="O33" s="51">
        <f t="shared" ref="O33:Y33" si="9">P9-O9</f>
        <v>32</v>
      </c>
      <c r="P33" s="54">
        <f t="shared" si="9"/>
        <v>28</v>
      </c>
      <c r="Q33" s="54">
        <f t="shared" si="9"/>
        <v>31</v>
      </c>
      <c r="R33" s="54">
        <f t="shared" si="9"/>
        <v>28</v>
      </c>
      <c r="S33" s="54">
        <f t="shared" si="9"/>
        <v>33</v>
      </c>
      <c r="T33" s="54">
        <f t="shared" si="9"/>
        <v>30</v>
      </c>
      <c r="U33" s="54">
        <f t="shared" si="9"/>
        <v>29</v>
      </c>
      <c r="V33" s="54">
        <f t="shared" si="9"/>
        <v>33</v>
      </c>
      <c r="W33" s="56">
        <f t="shared" si="9"/>
        <v>33</v>
      </c>
      <c r="X33" s="54">
        <f t="shared" si="9"/>
        <v>30</v>
      </c>
      <c r="Y33" s="54">
        <f t="shared" si="9"/>
        <v>30</v>
      </c>
      <c r="Z33" s="55">
        <f>O9-Z9</f>
        <v>-337</v>
      </c>
    </row>
    <row r="34" spans="1:26" ht="16.5" x14ac:dyDescent="0.35">
      <c r="A34" s="15" t="s">
        <v>30</v>
      </c>
      <c r="B34" s="4">
        <f>RTD("wdf.rtq", ,"RB01M.SHF", "rt_latest","RT_Price")</f>
        <v>3964</v>
      </c>
      <c r="C34" s="3">
        <f>RTD("wdf.rtq", ,"RB02M.SHF", "rt_latest","RT_Price")</f>
        <v>3970</v>
      </c>
      <c r="D34" s="3">
        <f>RTD("wdf.rtq", ,"RB03M.SHF", "rt_latest","RT_Price")</f>
        <v>4020</v>
      </c>
      <c r="E34" s="3">
        <f>RTD("wdf.rtq", ,"RB04M.SHF", "rt_latest","RT_Price")</f>
        <v>4039</v>
      </c>
      <c r="F34" s="3">
        <f>RTD("wdf.rtq", ,"RB05M.SHF", "rt_latest","RT_Price")</f>
        <v>4057</v>
      </c>
      <c r="G34" s="3">
        <f>RTD("wdf.rtq", ,"RB06M.SHF", "rt_latest","RT_Price")</f>
        <v>4034</v>
      </c>
      <c r="H34" s="4">
        <f>RTD("wdf.rtq", ,"RB07M.SHF", "rt_latest","RT_Price")</f>
        <v>4036</v>
      </c>
      <c r="I34" s="3">
        <f>RTD("wdf.rtq", ,"RB08M.SHF", "rt_latest","RT_Price")</f>
        <v>4040</v>
      </c>
      <c r="J34" s="4">
        <f>RTD("wdf.rtq", ,"RB09M.SHF", "rt_latest","RT_Price")</f>
        <v>4038</v>
      </c>
      <c r="K34" s="3">
        <f>RTD("wdf.rtq", ,"RB10M.SHF", "rt_latest","RT_Price")</f>
        <v>4022</v>
      </c>
      <c r="L34" s="3">
        <f>RTD("wdf.rtq", ,"RB11M.SHF", "rt_latest","RT_Price")</f>
        <v>4015</v>
      </c>
      <c r="M34" s="3">
        <f>RTD("wdf.rtq", ,"RB12M.SHF", "rt_latest","RT_Price")</f>
        <v>4013</v>
      </c>
      <c r="N34" s="1" t="s">
        <v>30</v>
      </c>
      <c r="O34" s="51">
        <f t="shared" ref="O34:Y34" si="10">P10-O10</f>
        <v>32</v>
      </c>
      <c r="P34" s="54">
        <f t="shared" si="10"/>
        <v>28</v>
      </c>
      <c r="Q34" s="54">
        <f t="shared" si="10"/>
        <v>31</v>
      </c>
      <c r="R34" s="54">
        <f t="shared" si="10"/>
        <v>28</v>
      </c>
      <c r="S34" s="54">
        <f t="shared" si="10"/>
        <v>33</v>
      </c>
      <c r="T34" s="54">
        <f t="shared" si="10"/>
        <v>30</v>
      </c>
      <c r="U34" s="54">
        <f t="shared" si="10"/>
        <v>29</v>
      </c>
      <c r="V34" s="54">
        <f t="shared" si="10"/>
        <v>33</v>
      </c>
      <c r="W34" s="56">
        <f t="shared" si="10"/>
        <v>33</v>
      </c>
      <c r="X34" s="54">
        <f t="shared" si="10"/>
        <v>30</v>
      </c>
      <c r="Y34" s="54">
        <f t="shared" si="10"/>
        <v>30</v>
      </c>
      <c r="Z34" s="55">
        <f>O10-Z10</f>
        <v>-337</v>
      </c>
    </row>
    <row r="35" spans="1:26" ht="16.5" x14ac:dyDescent="0.35">
      <c r="A35" s="15" t="s">
        <v>31</v>
      </c>
      <c r="B35" s="4">
        <f>RTD("wdf.rtq", ,"HC01M.SHF", "rt_latest","RT_Price")</f>
        <v>4022</v>
      </c>
      <c r="C35" s="3">
        <f>RTD("wdf.rtq", ,"HC02M.SHF", "rt_latest","RT_Price")</f>
        <v>4160</v>
      </c>
      <c r="D35" s="3">
        <f>RTD("wdf.rtq", ,"HC03M.SHF", "rt_latest","RT_Price")</f>
        <v>4165</v>
      </c>
      <c r="E35" s="3">
        <f>RTD("wdf.rtq", ,"HC04M.SHF", "rt_latest","RT_Price")</f>
        <v>4155</v>
      </c>
      <c r="F35" s="3">
        <f>RTD("wdf.rtq", ,"HC05M.SHF", "rt_latest","RT_Price")</f>
        <v>4134</v>
      </c>
      <c r="G35" s="3">
        <f>RTD("wdf.rtq", ,"HC06M.SHF", "rt_latest","RT_Price")</f>
        <v>4125</v>
      </c>
      <c r="H35" s="4">
        <f>RTD("wdf.rtq", ,"HC07M.SHF", "rt_latest","RT_Price")</f>
        <v>4116</v>
      </c>
      <c r="I35" s="3">
        <f>RTD("wdf.rtq", ,"HC08M.SHF", "rt_latest","RT_Price")</f>
        <v>4104</v>
      </c>
      <c r="J35" s="4">
        <f>RTD("wdf.rtq", ,"HC09M.SHF", "rt_latest","RT_Price")</f>
        <v>4107</v>
      </c>
      <c r="K35" s="3">
        <f>RTD("wdf.rtq", ,"HC10M.SHF", "rt_latest","RT_Price")</f>
        <v>4082</v>
      </c>
      <c r="L35" s="3">
        <f>RTD("wdf.rtq", ,"HC11M.SHF", "rt_latest","RT_Price")</f>
        <v>4054</v>
      </c>
      <c r="M35" s="3">
        <f>RTD("wdf.rtq", ,"HC12M.SHF", "rt_latest","RT_Price")</f>
        <v>4049</v>
      </c>
      <c r="N35" s="1" t="s">
        <v>31</v>
      </c>
      <c r="O35" s="51">
        <f t="shared" ref="O35:Y35" si="11">P11-O11</f>
        <v>32</v>
      </c>
      <c r="P35" s="54">
        <f t="shared" si="11"/>
        <v>28</v>
      </c>
      <c r="Q35" s="54">
        <f t="shared" si="11"/>
        <v>31</v>
      </c>
      <c r="R35" s="54">
        <f t="shared" si="11"/>
        <v>28</v>
      </c>
      <c r="S35" s="54">
        <f t="shared" si="11"/>
        <v>33</v>
      </c>
      <c r="T35" s="54">
        <f t="shared" si="11"/>
        <v>30</v>
      </c>
      <c r="U35" s="54">
        <f t="shared" si="11"/>
        <v>29</v>
      </c>
      <c r="V35" s="54">
        <f t="shared" si="11"/>
        <v>33</v>
      </c>
      <c r="W35" s="56">
        <f t="shared" si="11"/>
        <v>33</v>
      </c>
      <c r="X35" s="54">
        <f t="shared" si="11"/>
        <v>30</v>
      </c>
      <c r="Y35" s="54">
        <f t="shared" si="11"/>
        <v>30</v>
      </c>
      <c r="Z35" s="55">
        <f>O11-Z11</f>
        <v>-337</v>
      </c>
    </row>
    <row r="36" spans="1:26" ht="16.5" x14ac:dyDescent="0.35">
      <c r="A36" s="15" t="s">
        <v>32</v>
      </c>
      <c r="B36" s="22">
        <f>RTD("wdf.rtq", ,"FU01M.SHF", "rt_latest","RT_Price")</f>
        <v>2759</v>
      </c>
      <c r="C36" s="3">
        <f>RTD("wdf.rtq", ,"FU02M.SHF", "rt_latest","RT_Price")</f>
        <v>2732</v>
      </c>
      <c r="D36" s="3">
        <f>RTD("wdf.rtq", ,"FU03M.SHF", "rt_latest","RT_Price")</f>
        <v>2692</v>
      </c>
      <c r="E36" s="3">
        <f>RTD("wdf.rtq", ,"FU04M.SHF", "rt_latest","RT_Price")</f>
        <v>2721</v>
      </c>
      <c r="F36" s="3">
        <f>RTD("wdf.rtq", ,"FU05M.SHF", "rt_latest","RT_Price")</f>
        <v>2734</v>
      </c>
      <c r="G36" s="3">
        <f>RTD("wdf.rtq", ,"FU06M.SHF", "rt_latest","RT_Price")</f>
        <v>2749</v>
      </c>
      <c r="H36" s="4">
        <f>RTD("wdf.rtq", ,"FU07M.SHF", "rt_latest","RT_Price")</f>
        <v>2747</v>
      </c>
      <c r="I36" s="3">
        <f>RTD("wdf.rtq", ,"FU08M.SHF", "rt_latest","RT_Price")</f>
        <v>2740</v>
      </c>
      <c r="J36" s="4">
        <f>RTD("wdf.rtq", ,"FU09M.SHF", "rt_latest","RT_Price")</f>
        <v>2738</v>
      </c>
      <c r="K36" s="3">
        <f>RTD("wdf.rtq", ,"FU10M.SHF", "rt_latest","RT_Price")</f>
        <v>2747</v>
      </c>
      <c r="L36" s="3">
        <f>RTD("wdf.rtq", ,"FU11M.SHF", "rt_latest","RT_Price")</f>
        <v>2744</v>
      </c>
      <c r="M36" s="3">
        <f>RTD("wdf.rtq", ,"FU12M.SHF", "rt_latest","RT_Price")</f>
        <v>2751</v>
      </c>
      <c r="N36" s="1" t="s">
        <v>32</v>
      </c>
      <c r="O36" s="51">
        <f t="shared" ref="O36:Y36" si="12">P12-O12</f>
        <v>23</v>
      </c>
      <c r="P36" s="54">
        <f t="shared" si="12"/>
        <v>43</v>
      </c>
      <c r="Q36" s="54">
        <f t="shared" si="12"/>
        <v>33</v>
      </c>
      <c r="R36" s="54">
        <f t="shared" si="12"/>
        <v>35</v>
      </c>
      <c r="S36" s="54">
        <f t="shared" si="12"/>
        <v>26</v>
      </c>
      <c r="T36" s="54">
        <f t="shared" si="12"/>
        <v>30</v>
      </c>
      <c r="U36" s="54">
        <f t="shared" si="12"/>
        <v>29</v>
      </c>
      <c r="V36" s="54">
        <f t="shared" si="12"/>
        <v>33</v>
      </c>
      <c r="W36" s="56">
        <f t="shared" si="12"/>
        <v>36</v>
      </c>
      <c r="X36" s="54">
        <f t="shared" si="12"/>
        <v>-342</v>
      </c>
      <c r="Y36" s="54">
        <f t="shared" si="12"/>
        <v>397</v>
      </c>
      <c r="Z36" s="55">
        <f>O12-Z12</f>
        <v>-343</v>
      </c>
    </row>
    <row r="37" spans="1:26" ht="16.5" x14ac:dyDescent="0.35">
      <c r="A37" s="15" t="s">
        <v>29</v>
      </c>
      <c r="B37" s="4">
        <f>RTD("wdf.rtq", ,"AU01M.SHF", "rt_latest","RT_Price")</f>
        <v>0</v>
      </c>
      <c r="C37" s="3">
        <f>RTD("wdf.rtq", ,"AU02M.SHF", "rt_latest","RT_Price")</f>
        <v>411.48</v>
      </c>
      <c r="D37" s="3">
        <f>RTD("wdf.rtq", ,"AU03M.SHF", "rt_latest","RT_Price")</f>
        <v>412.06</v>
      </c>
      <c r="E37" s="3">
        <f>RTD("wdf.rtq", ,"AU04M.SHF", "rt_latest","RT_Price")</f>
        <v>412.66</v>
      </c>
      <c r="F37" s="3">
        <f>RTD("wdf.rtq", ,"AU05M.SHF", "rt_latest","RT_Price")</f>
        <v>0</v>
      </c>
      <c r="G37" s="3">
        <f>RTD("wdf.rtq", ,"AU06M.SHF", "rt_latest","RT_Price")</f>
        <v>413.38</v>
      </c>
      <c r="H37" s="4">
        <f>RTD("wdf.rtq", ,"AU07M.SHF", "rt_latest","RT_Price")</f>
        <v>0</v>
      </c>
      <c r="I37" s="3">
        <f>RTD("wdf.rtq", ,"AU08M.SHF", "rt_latest","RT_Price")</f>
        <v>414.16</v>
      </c>
      <c r="J37" s="4">
        <f>RTD("wdf.rtq", ,"AU09M.SHF", "rt_latest","RT_Price")</f>
        <v>0</v>
      </c>
      <c r="K37" s="3">
        <f>RTD("wdf.rtq", ,"AU10M.SHF", "rt_latest","RT_Price")</f>
        <v>414.84000000000003</v>
      </c>
      <c r="L37" s="3">
        <f>RTD("wdf.rtq", ,"AU11M.SHF", "rt_latest","RT_Price")</f>
        <v>0</v>
      </c>
      <c r="M37" s="3">
        <f>RTD("wdf.rtq", ,"AU12M.SHF", "rt_latest","RT_Price")</f>
        <v>415.62</v>
      </c>
      <c r="N37" s="1" t="s">
        <v>29</v>
      </c>
      <c r="O37" s="51"/>
      <c r="P37" s="54">
        <f>R13-P13</f>
        <v>61</v>
      </c>
      <c r="Q37" s="54"/>
      <c r="R37" s="54">
        <f>T13-R13</f>
        <v>59</v>
      </c>
      <c r="S37" s="54"/>
      <c r="T37" s="54">
        <f>V13-T13</f>
        <v>61</v>
      </c>
      <c r="U37" s="54"/>
      <c r="V37" s="54">
        <f>X13-V13</f>
        <v>62</v>
      </c>
      <c r="W37" s="75"/>
      <c r="X37" s="54">
        <f>Z13-X13</f>
        <v>62</v>
      </c>
      <c r="Y37" s="54"/>
      <c r="Z37" s="55">
        <f>P13-Z13</f>
        <v>-305</v>
      </c>
    </row>
    <row r="38" spans="1:26" ht="16.5" x14ac:dyDescent="0.35">
      <c r="A38" s="15" t="s">
        <v>17</v>
      </c>
      <c r="B38" s="4">
        <f>RTD("wdf.rtq", ,"RU01M.SHF", "rt_latest","RT_Price")</f>
        <v>13570</v>
      </c>
      <c r="C38" s="3">
        <f>RTD("wdf.rtq", ,"RU02M.SHF", "rt_latest","RT_Price")</f>
        <v>0</v>
      </c>
      <c r="D38" s="3">
        <f>RTD("wdf.rtq", ,"RU03M.SHF", "rt_latest","RT_Price")</f>
        <v>12500</v>
      </c>
      <c r="E38" s="3">
        <f>RTD("wdf.rtq", ,"RU04M.SHF", "rt_latest","RT_Price")</f>
        <v>12595</v>
      </c>
      <c r="F38" s="3">
        <f>RTD("wdf.rtq", ,"RU05M.SHF", "rt_latest","RT_Price")</f>
        <v>12665</v>
      </c>
      <c r="G38" s="3">
        <f>RTD("wdf.rtq", ,"RU06M.SHF", "rt_latest","RT_Price")</f>
        <v>12635</v>
      </c>
      <c r="H38" s="4">
        <f>RTD("wdf.rtq", ,"RU07M.SHF", "rt_latest","RT_Price")</f>
        <v>12620</v>
      </c>
      <c r="I38" s="3">
        <f>RTD("wdf.rtq", ,"RU08M.SHF", "rt_latest","RT_Price")</f>
        <v>12630</v>
      </c>
      <c r="J38" s="4">
        <f>RTD("wdf.rtq", ,"RU09M.SHF", "rt_latest","RT_Price")</f>
        <v>12625</v>
      </c>
      <c r="K38" s="3">
        <f>RTD("wdf.rtq", ,"RU10M.SHF", "rt_latest","RT_Price")</f>
        <v>12655</v>
      </c>
      <c r="L38" s="21">
        <f>RTD("wdf.rtq", ,"RU11M.SHF", "rt_latest","RT_Price")</f>
        <v>12665</v>
      </c>
      <c r="M38" s="3">
        <f>RTD("wdf.rtq", ,"RU12M.SHF", "rt_latest","RT_Price")</f>
        <v>0</v>
      </c>
      <c r="N38" s="1" t="s">
        <v>17</v>
      </c>
      <c r="O38" s="51"/>
      <c r="P38" s="54"/>
      <c r="Q38" s="54">
        <f t="shared" ref="Q38:X38" si="13">R14-Q14</f>
        <v>31</v>
      </c>
      <c r="R38" s="54">
        <f t="shared" si="13"/>
        <v>28</v>
      </c>
      <c r="S38" s="54">
        <f t="shared" si="13"/>
        <v>33</v>
      </c>
      <c r="T38" s="54">
        <f t="shared" si="13"/>
        <v>30</v>
      </c>
      <c r="U38" s="54">
        <f t="shared" si="13"/>
        <v>29</v>
      </c>
      <c r="V38" s="54">
        <f t="shared" si="13"/>
        <v>33</v>
      </c>
      <c r="W38" s="56">
        <f t="shared" si="13"/>
        <v>29</v>
      </c>
      <c r="X38" s="54">
        <f t="shared" si="13"/>
        <v>32</v>
      </c>
      <c r="Y38" s="54"/>
      <c r="Z38" s="69"/>
    </row>
    <row r="39" spans="1:26" ht="16.5" x14ac:dyDescent="0.35">
      <c r="A39" s="17" t="s">
        <v>10</v>
      </c>
      <c r="B39" s="4">
        <f>RTD("wdf.rtq", ,"EG01M.DCE", "rt_latest","RT_Price")</f>
        <v>4337</v>
      </c>
      <c r="C39" s="3">
        <f>RTD("wdf.rtq", ,"EG02M.DCE", "rt_latest","RT_Price")</f>
        <v>4085</v>
      </c>
      <c r="D39" s="21">
        <f>RTD("wdf.rtq", ,"EG03M.DCE", "rt_latest","RT_Price")</f>
        <v>4092</v>
      </c>
      <c r="E39" s="3">
        <f>RTD("wdf.rtq", ,"EG04M.DCE", "rt_latest","RT_Price")</f>
        <v>4141</v>
      </c>
      <c r="F39" s="3">
        <f>RTD("wdf.rtq", ,"EG05M.DCE", "rt_latest","RT_Price")</f>
        <v>4173</v>
      </c>
      <c r="G39" s="3">
        <f>RTD("wdf.rtq", ,"EG06M.DCE", "rt_latest","RT_Price")</f>
        <v>4199</v>
      </c>
      <c r="H39" s="4">
        <f>RTD("wdf.rtq", ,"EG07M.DCE", "rt_latest","RT_Price")</f>
        <v>4225</v>
      </c>
      <c r="I39" s="3">
        <f>RTD("wdf.rtq", ,"EG08M.DCE", "rt_latest","RT_Price")</f>
        <v>4245</v>
      </c>
      <c r="J39" s="4">
        <f>RTD("wdf.rtq", ,"EG09M.DCE", "rt_latest","RT_Price")</f>
        <v>4263</v>
      </c>
      <c r="K39" s="3">
        <f>RTD("wdf.rtq", ,"EG10M.DCE", "rt_latest","RT_Price")</f>
        <v>4280</v>
      </c>
      <c r="L39" s="3">
        <f>RTD("wdf.rtq", ,"EG11M.DCE", "rt_latest","RT_Price")</f>
        <v>4335</v>
      </c>
      <c r="M39" s="3">
        <f>RTD("wdf.rtq", ,"EG12M.DCE", "rt_latest","RT_Price")</f>
        <v>4349</v>
      </c>
      <c r="N39" s="6" t="s">
        <v>10</v>
      </c>
      <c r="O39" s="51">
        <f t="shared" ref="O39:X39" si="14">P19-O19</f>
        <v>29</v>
      </c>
      <c r="P39" s="54">
        <f t="shared" si="14"/>
        <v>31</v>
      </c>
      <c r="Q39" s="68">
        <f t="shared" si="14"/>
        <v>28</v>
      </c>
      <c r="R39" s="54">
        <f t="shared" si="14"/>
        <v>33</v>
      </c>
      <c r="S39" s="54">
        <f t="shared" si="14"/>
        <v>30</v>
      </c>
      <c r="T39" s="54">
        <f t="shared" si="14"/>
        <v>31</v>
      </c>
      <c r="U39" s="54">
        <f t="shared" si="14"/>
        <v>31</v>
      </c>
      <c r="V39" s="54">
        <f t="shared" si="14"/>
        <v>-335</v>
      </c>
      <c r="W39" s="56">
        <f t="shared" si="14"/>
        <v>396</v>
      </c>
      <c r="X39" s="54">
        <f t="shared" si="14"/>
        <v>30</v>
      </c>
      <c r="Y39" s="54">
        <f>Z19-Y19</f>
        <v>29</v>
      </c>
      <c r="Z39" s="55">
        <f>O19-Z19</f>
        <v>-333</v>
      </c>
    </row>
    <row r="40" spans="1:26" ht="16.5" x14ac:dyDescent="0.35">
      <c r="A40" s="17" t="s">
        <v>21</v>
      </c>
      <c r="B40" s="4">
        <f>RTD("wdf.rtq", ,"PG01M.DCE", "rt_latest","RT_Price")</f>
        <v>4685</v>
      </c>
      <c r="C40" s="3">
        <f>RTD("wdf.rtq", ,"PG02M.DCE", "rt_latest","RT_Price")</f>
        <v>5100</v>
      </c>
      <c r="D40" s="21">
        <f>RTD("wdf.rtq", ,"PG03M.DCE", "rt_latest","RT_Price")</f>
        <v>4780</v>
      </c>
      <c r="E40" s="3">
        <f>RTD("wdf.rtq", ,"PG04M.DCE", "rt_latest","RT_Price")</f>
        <v>5069</v>
      </c>
      <c r="F40" s="3">
        <f>RTD("wdf.rtq", ,"PG05M.DCE", "rt_latest","RT_Price")</f>
        <v>4893</v>
      </c>
      <c r="G40" s="3">
        <f>RTD("wdf.rtq", ,"PG06M.DCE", "rt_latest","RT_Price")</f>
        <v>4805</v>
      </c>
      <c r="H40" s="4">
        <f>RTD("wdf.rtq", ,"PG07M.DCE", "rt_latest","RT_Price")</f>
        <v>4727</v>
      </c>
      <c r="I40" s="3">
        <f>RTD("wdf.rtq", ,"PG08M.DCE", "rt_latest","RT_Price")</f>
        <v>4646</v>
      </c>
      <c r="J40" s="4">
        <f>RTD("wdf.rtq", ,"PG09M.DCE", "rt_latest","RT_Price")</f>
        <v>4543</v>
      </c>
      <c r="K40" s="3">
        <f>RTD("wdf.rtq", ,"PG10M.DCE", "rt_latest","RT_Price")</f>
        <v>4932</v>
      </c>
      <c r="L40" s="3">
        <f>RTD("wdf.rtq", ,"PG11M.DCE", "rt_latest","RT_Price")</f>
        <v>4741</v>
      </c>
      <c r="M40" s="3">
        <f>RTD("wdf.rtq", ,"PG12M.DCE", "rt_latest","RT_Price")</f>
        <v>4703</v>
      </c>
      <c r="N40" s="6" t="s">
        <v>21</v>
      </c>
      <c r="O40" s="51">
        <f t="shared" ref="O40:Y40" si="15">P20-O20</f>
        <v>29</v>
      </c>
      <c r="P40" s="54">
        <f t="shared" si="15"/>
        <v>31</v>
      </c>
      <c r="Q40" s="68">
        <f t="shared" si="15"/>
        <v>28</v>
      </c>
      <c r="R40" s="54">
        <f t="shared" si="15"/>
        <v>33</v>
      </c>
      <c r="S40" s="54">
        <f t="shared" si="15"/>
        <v>30</v>
      </c>
      <c r="T40" s="54">
        <f t="shared" si="15"/>
        <v>31</v>
      </c>
      <c r="U40" s="54">
        <f t="shared" si="15"/>
        <v>31</v>
      </c>
      <c r="V40" s="54">
        <f t="shared" si="15"/>
        <v>-335</v>
      </c>
      <c r="W40" s="56">
        <f t="shared" si="15"/>
        <v>396</v>
      </c>
      <c r="X40" s="54">
        <f t="shared" si="15"/>
        <v>30</v>
      </c>
      <c r="Y40" s="54">
        <f t="shared" si="15"/>
        <v>29</v>
      </c>
      <c r="Z40" s="55">
        <f>O20-Z20</f>
        <v>-333</v>
      </c>
    </row>
    <row r="41" spans="1:26" ht="16.5" x14ac:dyDescent="0.35">
      <c r="A41" s="17" t="s">
        <v>19</v>
      </c>
      <c r="B41" s="4">
        <f>RTD("wdf.rtq", ,"M01M.DCE", "rt_latest","RT_Price")</f>
        <v>3694</v>
      </c>
      <c r="C41" s="3" t="e">
        <f>RTD("wdf.rtq", ,"M02M.DCE", "rt_latest","RT_Price")</f>
        <v>#N/A</v>
      </c>
      <c r="D41" s="21">
        <f>RTD("wdf.rtq", ,"M03M.DCE", "rt_latest","RT_Price")</f>
        <v>4267</v>
      </c>
      <c r="E41" s="3" t="e">
        <f>RTD("wdf.rtq", ,"M04M.DCE", "rt_latest","RT_Price")</f>
        <v>#N/A</v>
      </c>
      <c r="F41" s="3">
        <f>RTD("wdf.rtq", ,"M05M.DCE", "rt_latest","RT_Price")</f>
        <v>3862</v>
      </c>
      <c r="G41" s="3" t="e">
        <f>RTD("wdf.rtq", ,"M06M.DCE", "rt_latest","RT_Price")</f>
        <v>#N/A</v>
      </c>
      <c r="H41" s="22">
        <f>RTD("wdf.rtq", ,"M07M.DCE", "rt_latest","RT_Price")</f>
        <v>3836</v>
      </c>
      <c r="I41" s="3">
        <f>RTD("wdf.rtq", ,"M08M.DCE", "rt_latest","RT_Price")</f>
        <v>3883</v>
      </c>
      <c r="J41" s="4">
        <f>RTD("wdf.rtq", ,"M09M.DCE", "rt_latest","RT_Price")</f>
        <v>3852</v>
      </c>
      <c r="K41" s="3" t="e">
        <f>RTD("wdf.rtq", ,"M10M.DCE", "rt_latest","RT_Price")</f>
        <v>#N/A</v>
      </c>
      <c r="L41" s="21">
        <f>RTD("wdf.rtq", ,"M11M.DCE", "rt_latest","RT_Price")</f>
        <v>3816</v>
      </c>
      <c r="M41" s="3">
        <f>RTD("wdf.rtq", ,"M12M.DCE", "rt_latest","RT_Price")</f>
        <v>3773</v>
      </c>
      <c r="N41" s="6" t="s">
        <v>19</v>
      </c>
      <c r="O41" s="51">
        <f>Q15-O15</f>
        <v>56</v>
      </c>
      <c r="P41" s="54"/>
      <c r="Q41" s="68">
        <f>S15-Q15</f>
        <v>67</v>
      </c>
      <c r="R41" s="54"/>
      <c r="S41" s="54">
        <f>U15-S15</f>
        <v>57</v>
      </c>
      <c r="T41" s="54"/>
      <c r="U41" s="68">
        <f>W15-U15</f>
        <v>64</v>
      </c>
      <c r="V41" s="54"/>
      <c r="W41" s="56">
        <f>Y15-W15</f>
        <v>57</v>
      </c>
      <c r="X41" s="54"/>
      <c r="Y41" s="68">
        <f>O15-Y15</f>
        <v>-301</v>
      </c>
      <c r="Z41" s="55"/>
    </row>
    <row r="42" spans="1:26" ht="16.5" x14ac:dyDescent="0.35">
      <c r="A42" s="17" t="s">
        <v>20</v>
      </c>
      <c r="B42" s="4">
        <f>RTD("wdf.rtq", ,"A01M.DCE", "rt_latest","RT_Price")</f>
        <v>5444</v>
      </c>
      <c r="C42" s="3" t="e">
        <f>RTD("wdf.rtq", ,"A02M.DCE", "rt_latest","RT_Price")</f>
        <v>#N/A</v>
      </c>
      <c r="D42" s="21">
        <f>RTD("wdf.rtq", ,"A03M.DCE", "rt_latest","RT_Price")</f>
        <v>5511</v>
      </c>
      <c r="E42" s="3" t="e">
        <f>RTD("wdf.rtq", ,"A04M.DCE", "rt_latest","RT_Price")</f>
        <v>#N/A</v>
      </c>
      <c r="F42" s="3">
        <f>RTD("wdf.rtq", ,"A05M.DCE", "rt_latest","RT_Price")</f>
        <v>5535</v>
      </c>
      <c r="G42" s="3" t="e">
        <f>RTD("wdf.rtq", ,"A06M.DCE", "rt_latest","RT_Price")</f>
        <v>#N/A</v>
      </c>
      <c r="H42" s="4">
        <f>RTD("wdf.rtq", ,"A07M.DCE", "rt_latest","RT_Price")</f>
        <v>5484</v>
      </c>
      <c r="I42" s="3" t="e">
        <f>RTD("wdf.rtq", ,"A08M.DCE", "rt_latest","RT_Price")</f>
        <v>#N/A</v>
      </c>
      <c r="J42" s="4">
        <f>RTD("wdf.rtq", ,"A09M.DCE", "rt_latest","RT_Price")</f>
        <v>5467</v>
      </c>
      <c r="K42" s="3" t="e">
        <f>RTD("wdf.rtq", ,"A10M.DCE", "rt_latest","RT_Price")</f>
        <v>#N/A</v>
      </c>
      <c r="L42" s="3">
        <f>RTD("wdf.rtq", ,"A11M.DCE", "rt_latest","RT_Price")</f>
        <v>5457</v>
      </c>
      <c r="M42" s="3" t="e">
        <f>RTD("wdf.rtq", ,"A12M.DCE", "rt_latest","RT_Price")</f>
        <v>#N/A</v>
      </c>
      <c r="N42" s="6" t="s">
        <v>20</v>
      </c>
      <c r="O42" s="51">
        <f>Q16-O16</f>
        <v>56</v>
      </c>
      <c r="P42" s="54"/>
      <c r="Q42" s="68">
        <f>S16-Q16</f>
        <v>67</v>
      </c>
      <c r="R42" s="54"/>
      <c r="S42" s="54">
        <f>U16-S16</f>
        <v>57</v>
      </c>
      <c r="T42" s="54"/>
      <c r="U42" s="54">
        <f>W16-U16</f>
        <v>64</v>
      </c>
      <c r="V42" s="54"/>
      <c r="W42" s="56">
        <f>Y16-W16</f>
        <v>57</v>
      </c>
      <c r="X42" s="54"/>
      <c r="Y42" s="54">
        <f>O16-Y16</f>
        <v>-301</v>
      </c>
      <c r="Z42" s="55"/>
    </row>
    <row r="43" spans="1:26" ht="16.5" x14ac:dyDescent="0.35">
      <c r="A43" s="17" t="s">
        <v>28</v>
      </c>
      <c r="B43" s="4">
        <f>RTD("wdf.rtq", ,"C01M.DCE", "rt_latest","RT_Price")</f>
        <v>2742</v>
      </c>
      <c r="C43" s="3" t="e">
        <f>RTD("wdf.rtq", ,"C02M.DCE", "rt_latest","RT_Price")</f>
        <v>#N/A</v>
      </c>
      <c r="D43" s="21">
        <f>RTD("wdf.rtq", ,"C03M.DCE", "rt_latest","RT_Price")</f>
        <v>2771</v>
      </c>
      <c r="E43" s="3" t="e">
        <f>RTD("wdf.rtq", ,"C04M.DCE", "rt_latest","RT_Price")</f>
        <v>#N/A</v>
      </c>
      <c r="F43" s="3">
        <f>RTD("wdf.rtq", ,"C05M.DCE", "rt_latest","RT_Price")</f>
        <v>2803</v>
      </c>
      <c r="G43" s="3" t="e">
        <f>RTD("wdf.rtq", ,"C06M.DCE", "rt_latest","RT_Price")</f>
        <v>#N/A</v>
      </c>
      <c r="H43" s="4">
        <f>RTD("wdf.rtq", ,"C07M.DCE", "rt_latest","RT_Price")</f>
        <v>2800</v>
      </c>
      <c r="I43" s="3" t="e">
        <f>RTD("wdf.rtq", ,"C08M.DCE", "rt_latest","RT_Price")</f>
        <v>#N/A</v>
      </c>
      <c r="J43" s="4">
        <f>RTD("wdf.rtq", ,"C09M.DCE", "rt_latest","RT_Price")</f>
        <v>2785</v>
      </c>
      <c r="K43" s="3" t="e">
        <f>RTD("wdf.rtq", ,"C10M.DCE", "rt_latest","RT_Price")</f>
        <v>#N/A</v>
      </c>
      <c r="L43" s="3">
        <f>RTD("wdf.rtq", ,"C11M.DCE", "rt_latest","RT_Price")</f>
        <v>2757</v>
      </c>
      <c r="M43" s="3" t="e">
        <f>RTD("wdf.rtq", ,"C12M.DCE", "rt_latest","RT_Price")</f>
        <v>#N/A</v>
      </c>
      <c r="N43" s="6" t="s">
        <v>28</v>
      </c>
      <c r="O43" s="51">
        <f>Q17-O17</f>
        <v>56</v>
      </c>
      <c r="P43" s="54"/>
      <c r="Q43" s="68">
        <f>S17-Q17</f>
        <v>67</v>
      </c>
      <c r="R43" s="54"/>
      <c r="S43" s="54">
        <f>U17-S17</f>
        <v>57</v>
      </c>
      <c r="T43" s="54"/>
      <c r="U43" s="54">
        <f>W17-U17</f>
        <v>64</v>
      </c>
      <c r="V43" s="54"/>
      <c r="W43" s="56">
        <f>Y17-W17</f>
        <v>57</v>
      </c>
      <c r="X43" s="54"/>
      <c r="Y43" s="54">
        <f>O17-Y17</f>
        <v>-301</v>
      </c>
      <c r="Z43" s="55"/>
    </row>
    <row r="44" spans="1:26" ht="16.5" x14ac:dyDescent="0.35">
      <c r="A44" s="17" t="s">
        <v>33</v>
      </c>
      <c r="B44" s="4">
        <f>RTD("wdf.rtq", ,"CS01M.DCE", "rt_latest","RT_Price")</f>
        <v>3064</v>
      </c>
      <c r="C44" s="3" t="e">
        <f>RTD("wdf.rtq", ,"CS02M.DCE", "rt_latest","RT_Price")</f>
        <v>#N/A</v>
      </c>
      <c r="D44" s="21">
        <f>RTD("wdf.rtq", ,"CS03M.DCE", "rt_latest","RT_Price")</f>
        <v>2870</v>
      </c>
      <c r="E44" s="3" t="e">
        <f>RTD("wdf.rtq", ,"CS04M.DCE", "rt_latest","RT_Price")</f>
        <v>#N/A</v>
      </c>
      <c r="F44" s="3">
        <f>RTD("wdf.rtq", ,"CS05M.DCE", "rt_latest","RT_Price")</f>
        <v>2992</v>
      </c>
      <c r="G44" s="3" t="e">
        <f>RTD("wdf.rtq", ,"CS06M.DCE", "rt_latest","RT_Price")</f>
        <v>#N/A</v>
      </c>
      <c r="H44" s="22">
        <f>RTD("wdf.rtq", ,"CS07M.DCE", "rt_latest","RT_Price")</f>
        <v>3004</v>
      </c>
      <c r="I44" s="3" t="e">
        <f>RTD("wdf.rtq", ,"CS08M.DCE", "rt_latest","RT_Price")</f>
        <v>#N/A</v>
      </c>
      <c r="J44" s="4">
        <f>RTD("wdf.rtq", ,"CS09M.DCE", "rt_latest","RT_Price")</f>
        <v>3075</v>
      </c>
      <c r="K44" s="3" t="e">
        <f>RTD("wdf.rtq", ,"CS10M.DCE", "rt_latest","RT_Price")</f>
        <v>#N/A</v>
      </c>
      <c r="L44" s="21">
        <f>RTD("wdf.rtq", ,"CS11M.DCE", "rt_latest","RT_Price")</f>
        <v>3061</v>
      </c>
      <c r="M44" s="3" t="e">
        <f>RTD("wdf.rtq", ,"CS12M.DCE", "rt_latest","RT_Price")</f>
        <v>#N/A</v>
      </c>
      <c r="N44" s="6" t="s">
        <v>33</v>
      </c>
      <c r="O44" s="51">
        <f>Q18-O18</f>
        <v>56</v>
      </c>
      <c r="P44" s="54"/>
      <c r="Q44" s="68">
        <f>S18-Q18</f>
        <v>67</v>
      </c>
      <c r="R44" s="54"/>
      <c r="S44" s="54">
        <f>U18-S18</f>
        <v>57</v>
      </c>
      <c r="T44" s="54"/>
      <c r="U44" s="68">
        <f>W18-U18</f>
        <v>64</v>
      </c>
      <c r="V44" s="54"/>
      <c r="W44" s="56">
        <f>Y18-W18</f>
        <v>57</v>
      </c>
      <c r="X44" s="54"/>
      <c r="Y44" s="68">
        <f>O18-Y18</f>
        <v>-301</v>
      </c>
      <c r="Z44" s="55"/>
    </row>
    <row r="45" spans="1:26" ht="16.5" x14ac:dyDescent="0.35">
      <c r="A45" s="18" t="s">
        <v>22</v>
      </c>
      <c r="B45" s="4">
        <f>RTD("wdf.rtq", ,"CF01M.CZC", "rt_latest","RT_Price")</f>
        <v>15065</v>
      </c>
      <c r="C45" s="3" t="e">
        <f>RTD("wdf.rtq", ,"CF02M.CZC", "rt_latest","RT_Price")</f>
        <v>#N/A</v>
      </c>
      <c r="D45" s="3">
        <f>RTD("wdf.rtq", ,"CF03M.CZC", "rt_latest","RT_Price")</f>
        <v>14800</v>
      </c>
      <c r="E45" s="3">
        <f>RTD("wdf.rtq", ,"CF04M.CZC", "rt_latest","RT_Price")</f>
        <v>0</v>
      </c>
      <c r="F45" s="3">
        <f>RTD("wdf.rtq", ,"CF05M.CZC", "rt_latest","RT_Price")</f>
        <v>14825</v>
      </c>
      <c r="G45" s="3">
        <f>RTD("wdf.rtq", ,"CF06M.CZC", "rt_latest","RT_Price")</f>
        <v>0</v>
      </c>
      <c r="H45" s="4">
        <f>RTD("wdf.rtq", ,"CF07M.CZC", "rt_latest","RT_Price")</f>
        <v>14860</v>
      </c>
      <c r="I45" s="3">
        <f>RTD("wdf.rtq", ,"CF08M.CZC", "rt_latest","RT_Price")</f>
        <v>0</v>
      </c>
      <c r="J45" s="4">
        <f>RTD("wdf.rtq", ,"CF09M.CZC", "rt_latest","RT_Price")</f>
        <v>14935</v>
      </c>
      <c r="K45" s="3">
        <f>RTD("wdf.rtq", ,"CF10M.CZC", "rt_latest","RT_Price")</f>
        <v>0</v>
      </c>
      <c r="L45" s="21">
        <f>RTD("wdf.rtq", ,"CF11M.CZC", "rt_latest","RT_Price")</f>
        <v>15010</v>
      </c>
      <c r="M45" s="3">
        <f>RTD("wdf.rtq", ,"CF12M.CZC", "rt_latest","RT_Price")</f>
        <v>0</v>
      </c>
      <c r="N45" s="8" t="s">
        <v>22</v>
      </c>
      <c r="O45" s="51">
        <f>Q21-O21</f>
        <v>58</v>
      </c>
      <c r="P45" s="54"/>
      <c r="Q45" s="54">
        <f>S21-Q21</f>
        <v>61</v>
      </c>
      <c r="R45" s="54"/>
      <c r="S45" s="54">
        <f>U21-S21</f>
        <v>63</v>
      </c>
      <c r="T45" s="54"/>
      <c r="U45" s="54">
        <f>W21-U21</f>
        <v>62</v>
      </c>
      <c r="V45" s="54"/>
      <c r="W45" s="56">
        <f>Y21-W21</f>
        <v>59</v>
      </c>
      <c r="X45" s="54"/>
      <c r="Y45" s="68"/>
      <c r="Z45" s="55"/>
    </row>
    <row r="46" spans="1:26" ht="16.5" x14ac:dyDescent="0.35">
      <c r="A46" s="18" t="s">
        <v>23</v>
      </c>
      <c r="B46" s="4">
        <f>RTD("wdf.rtq", ,"SR01M.CZC", "rt_latest","RT_Price")</f>
        <v>5941</v>
      </c>
      <c r="C46" s="3" t="e">
        <f>RTD("wdf.rtq", ,"SR02M.CZC", "rt_latest","RT_Price")</f>
        <v>#N/A</v>
      </c>
      <c r="D46" s="3">
        <f>RTD("wdf.rtq", ,"SR03M.CZC", "rt_latest","RT_Price")</f>
        <v>5909</v>
      </c>
      <c r="E46" s="3" t="e">
        <f>RTD("wdf.rtq", ,"SR04M.CZC", "rt_latest","RT_Price")</f>
        <v>#N/A</v>
      </c>
      <c r="F46" s="3">
        <f>RTD("wdf.rtq", ,"SR05M.CZC", "rt_latest","RT_Price")</f>
        <v>5933</v>
      </c>
      <c r="G46" s="3" t="e">
        <f>RTD("wdf.rtq", ,"SR06M.CZC", "rt_latest","RT_Price")</f>
        <v>#N/A</v>
      </c>
      <c r="H46" s="4">
        <f>RTD("wdf.rtq", ,"SR07M.CZC", "rt_latest","RT_Price")</f>
        <v>5944</v>
      </c>
      <c r="I46" s="3" t="e">
        <f>RTD("wdf.rtq", ,"SR08M.CZC", "rt_latest","RT_Price")</f>
        <v>#N/A</v>
      </c>
      <c r="J46" s="4">
        <f>RTD("wdf.rtq", ,"SR09M.CZC", "rt_latest","RT_Price")</f>
        <v>5946</v>
      </c>
      <c r="K46" s="3" t="e">
        <f>RTD("wdf.rtq", ,"SR10M.CZC", "rt_latest","RT_Price")</f>
        <v>#N/A</v>
      </c>
      <c r="L46" s="21">
        <f>RTD("wdf.rtq", ,"SR11M.CZC", "rt_latest","RT_Price")</f>
        <v>5935</v>
      </c>
      <c r="M46" s="3" t="e">
        <f>RTD("wdf.rtq", ,"SR12M.CZC", "rt_latest","RT_Price")</f>
        <v>#N/A</v>
      </c>
      <c r="N46" s="8" t="s">
        <v>23</v>
      </c>
      <c r="O46" s="51">
        <f>Q22-O22</f>
        <v>58</v>
      </c>
      <c r="P46" s="54"/>
      <c r="Q46" s="54">
        <f>S22-Q22</f>
        <v>61</v>
      </c>
      <c r="R46" s="54"/>
      <c r="S46" s="54">
        <f>U22-S22</f>
        <v>63</v>
      </c>
      <c r="T46" s="54"/>
      <c r="U46" s="54">
        <f>W22-U22</f>
        <v>62</v>
      </c>
      <c r="V46" s="54"/>
      <c r="W46" s="56">
        <f>Y22-W22</f>
        <v>59</v>
      </c>
      <c r="X46" s="54"/>
      <c r="Y46" s="68"/>
      <c r="Z46" s="55"/>
    </row>
    <row r="47" spans="1:26" ht="17.25" thickBot="1" x14ac:dyDescent="0.4">
      <c r="A47" s="19" t="s">
        <v>24</v>
      </c>
      <c r="B47" s="13">
        <f>RTD("wdf.rtq", ,"CJ01M.CZC", "rt_latest","RT_Price")</f>
        <v>11615</v>
      </c>
      <c r="C47" s="12" t="e">
        <f>RTD("wdf.rtq", ,"CJ02M.CZC", "rt_latest","RT_Price")</f>
        <v>#N/A</v>
      </c>
      <c r="D47" s="12">
        <f>RTD("wdf.rtq", ,"CJ03M.CZC", "rt_latest","RT_Price")</f>
        <v>10275</v>
      </c>
      <c r="E47" s="12" t="e">
        <f>RTD("wdf.rtq", ,"CJ04M.CZC", "rt_latest","RT_Price")</f>
        <v>#N/A</v>
      </c>
      <c r="F47" s="12">
        <f>RTD("wdf.rtq", ,"CJ05M.CZC", "rt_latest","RT_Price")</f>
        <v>10550</v>
      </c>
      <c r="G47" s="12" t="e">
        <f>RTD("wdf.rtq", ,"CJ06M.CZC", "rt_latest","RT_Price")</f>
        <v>#N/A</v>
      </c>
      <c r="H47" s="13">
        <f>RTD("wdf.rtq", ,"CJ07M.CZC", "rt_latest","RT_Price")</f>
        <v>10800</v>
      </c>
      <c r="I47" s="12" t="e">
        <f>RTD("wdf.rtq", ,"CJ08M.CZC", "rt_latest","RT_Price")</f>
        <v>#N/A</v>
      </c>
      <c r="J47" s="23">
        <f>RTD("wdf.rtq", ,"CJ09M.CZC", "rt_latest","RT_Price")</f>
        <v>10970</v>
      </c>
      <c r="K47" s="12" t="e">
        <f>RTD("wdf.rtq", ,"CJ10M.CZC", "rt_latest","RT_Price")</f>
        <v>#N/A</v>
      </c>
      <c r="L47" s="12" t="e">
        <f>RTD("wdf.rtq", ,"CJ11M.CZC", "rt_latest","RT_Price")</f>
        <v>#N/A</v>
      </c>
      <c r="M47" s="12">
        <f>RTD("wdf.rtq", ,"CJ12M.CZC", "rt_latest","RT_Price")</f>
        <v>11425</v>
      </c>
      <c r="N47" s="10" t="s">
        <v>24</v>
      </c>
      <c r="O47" s="61">
        <f>Q23-O23</f>
        <v>58</v>
      </c>
      <c r="P47" s="62"/>
      <c r="Q47" s="62">
        <f>S23-Q23</f>
        <v>61</v>
      </c>
      <c r="R47" s="62"/>
      <c r="S47" s="62">
        <f>U23-S23</f>
        <v>63</v>
      </c>
      <c r="T47" s="62"/>
      <c r="U47" s="62">
        <f>W23-U23</f>
        <v>62</v>
      </c>
      <c r="V47" s="62"/>
      <c r="W47" s="62"/>
      <c r="X47" s="62"/>
      <c r="Y47" s="62"/>
      <c r="Z47" s="63"/>
    </row>
    <row r="48" spans="1:26" ht="14.25" thickBot="1" x14ac:dyDescent="0.2"/>
    <row r="49" spans="1:26" ht="17.25" thickBot="1" x14ac:dyDescent="0.4">
      <c r="A49" s="65" t="s">
        <v>49</v>
      </c>
      <c r="B49" s="95" t="s">
        <v>35</v>
      </c>
      <c r="C49" s="96" t="s">
        <v>41</v>
      </c>
      <c r="D49" s="96" t="s">
        <v>42</v>
      </c>
      <c r="E49" s="96" t="s">
        <v>43</v>
      </c>
      <c r="F49" s="96" t="s">
        <v>44</v>
      </c>
      <c r="G49" s="96" t="s">
        <v>36</v>
      </c>
      <c r="H49" s="96" t="s">
        <v>45</v>
      </c>
      <c r="I49" s="96" t="s">
        <v>46</v>
      </c>
      <c r="J49" s="96" t="s">
        <v>37</v>
      </c>
      <c r="K49" s="96" t="s">
        <v>38</v>
      </c>
      <c r="L49" s="96" t="s">
        <v>39</v>
      </c>
      <c r="M49" s="97" t="s">
        <v>51</v>
      </c>
      <c r="N49" s="120">
        <v>0.03</v>
      </c>
      <c r="O49" s="95" t="s">
        <v>35</v>
      </c>
      <c r="P49" s="96" t="s">
        <v>41</v>
      </c>
      <c r="Q49" s="96" t="s">
        <v>42</v>
      </c>
      <c r="R49" s="96" t="s">
        <v>43</v>
      </c>
      <c r="S49" s="96" t="s">
        <v>44</v>
      </c>
      <c r="T49" s="96" t="s">
        <v>36</v>
      </c>
      <c r="U49" s="96" t="s">
        <v>45</v>
      </c>
      <c r="V49" s="96" t="s">
        <v>46</v>
      </c>
      <c r="W49" s="96" t="s">
        <v>37</v>
      </c>
      <c r="X49" s="96" t="s">
        <v>38</v>
      </c>
      <c r="Y49" s="96" t="s">
        <v>39</v>
      </c>
      <c r="Z49" s="97" t="s">
        <v>40</v>
      </c>
    </row>
    <row r="50" spans="1:26" ht="16.5" x14ac:dyDescent="0.35">
      <c r="A50" s="81" t="s">
        <v>18</v>
      </c>
      <c r="B50" s="9">
        <f t="shared" ref="B50:L50" si="16">B26-C26</f>
        <v>-14.399999999999977</v>
      </c>
      <c r="C50" s="64">
        <f>C26-D26</f>
        <v>-9.3000000000000682</v>
      </c>
      <c r="D50" s="64">
        <f t="shared" si="16"/>
        <v>1.8000000000000682</v>
      </c>
      <c r="E50" s="64">
        <f t="shared" si="16"/>
        <v>-0.60000000000002274</v>
      </c>
      <c r="F50" s="64">
        <f t="shared" si="16"/>
        <v>1.5</v>
      </c>
      <c r="G50" s="64">
        <f t="shared" si="16"/>
        <v>0.29999999999995453</v>
      </c>
      <c r="H50" s="64">
        <f t="shared" si="16"/>
        <v>1.7000000000000455</v>
      </c>
      <c r="I50" s="64">
        <f t="shared" si="16"/>
        <v>1.3999999999999773</v>
      </c>
      <c r="J50" s="64">
        <f t="shared" si="16"/>
        <v>-9.7000000000000455</v>
      </c>
      <c r="K50" s="64">
        <f t="shared" si="16"/>
        <v>17.500000000000114</v>
      </c>
      <c r="L50" s="64">
        <f t="shared" si="16"/>
        <v>13.099999999999909</v>
      </c>
      <c r="M50" s="82">
        <f t="shared" ref="M50:M56" si="17">M26-B26</f>
        <v>-3.2999999999999545</v>
      </c>
      <c r="N50" s="113" t="s">
        <v>18</v>
      </c>
      <c r="O50" s="102">
        <f>-(C2*O26+E2+B26*(O26*N49/365+H2))*(1+B2)</f>
        <v>-7.7897084517963302</v>
      </c>
      <c r="P50" s="103">
        <f>-(C2*P26+E2+C26*(P26*N49/365+H2))*(1+B2)</f>
        <v>-8.7699202274489529</v>
      </c>
      <c r="Q50" s="103">
        <f>-(C2*Q26+E2+D26*(Q26*N49/365+H2))*(1+B2)</f>
        <v>-7.6320738640475572</v>
      </c>
      <c r="R50" s="94">
        <f>-(C2*R26+E2+E26*(R26*N49/365+H2))*(1+B2)</f>
        <v>-8.5625711191522367</v>
      </c>
      <c r="S50" s="94">
        <f>-(C2*S26+E2+F26*(S26*N49/365+H2))*(1+B2)</f>
        <v>-6.4578453088653403</v>
      </c>
      <c r="T50" s="94">
        <f>-(C2*T26+E2+G26*(T26*N49/365+H2))*(1+B2)</f>
        <v>-7.3896074954768682</v>
      </c>
      <c r="U50" s="94">
        <f>-(C2*U26+E2+H26*(U26*N49/365+H2))*(1+B2)</f>
        <v>-7.6226300284311197</v>
      </c>
      <c r="V50" s="94">
        <f>-(C2*V26+E2+I26*(V26*N49/365+H2))*(1+B2)</f>
        <v>-7.6172785215818042</v>
      </c>
      <c r="W50" s="94">
        <f>-(C2*W26+E2+J26*(W26*N49/365+H2))*(1+B2)</f>
        <v>-8.7813087205996396</v>
      </c>
      <c r="X50" s="94">
        <f>-(C2*X26+E2+K26*(X26*N49/365+H2))*(1+B2)</f>
        <v>-6.2364981183768418</v>
      </c>
      <c r="Y50" s="94">
        <f>-(C2*Y26+E2+L26*(Y26*N49/365+H2))*(1+B2)</f>
        <v>-7.3552710571207029</v>
      </c>
      <c r="Z50" s="104">
        <f>-(C2*Z26+E2+M26*(O26*N49/365+H2))*(1+B2)</f>
        <v>62.975667981390536</v>
      </c>
    </row>
    <row r="51" spans="1:26" ht="16.5" x14ac:dyDescent="0.35">
      <c r="A51" s="5" t="s">
        <v>27</v>
      </c>
      <c r="B51" s="2">
        <f t="shared" ref="B51:L51" si="18">B27-C27</f>
        <v>-2710</v>
      </c>
      <c r="C51" s="4">
        <f t="shared" si="18"/>
        <v>670</v>
      </c>
      <c r="D51" s="4">
        <f t="shared" si="18"/>
        <v>-170</v>
      </c>
      <c r="E51" s="4">
        <f t="shared" si="18"/>
        <v>20</v>
      </c>
      <c r="F51" s="4">
        <f t="shared" si="18"/>
        <v>100</v>
      </c>
      <c r="G51" s="4">
        <f t="shared" si="18"/>
        <v>-200</v>
      </c>
      <c r="H51" s="4">
        <f t="shared" si="18"/>
        <v>-260</v>
      </c>
      <c r="I51" s="4">
        <f t="shared" si="18"/>
        <v>870</v>
      </c>
      <c r="J51" s="4">
        <f>J27-K27</f>
        <v>540</v>
      </c>
      <c r="K51" s="4">
        <f t="shared" si="18"/>
        <v>170</v>
      </c>
      <c r="L51" s="4">
        <f t="shared" si="18"/>
        <v>-1240</v>
      </c>
      <c r="M51" s="7">
        <f t="shared" si="17"/>
        <v>2210</v>
      </c>
      <c r="N51" s="114" t="s">
        <v>27</v>
      </c>
      <c r="O51" s="93">
        <f>-(C3*O27+D3*B27+B27*(O27*N49/365+H3))*(1+B3)</f>
        <v>-195.34638449211681</v>
      </c>
      <c r="P51" s="99">
        <f>-(C3*P27+D3*C27+C27*(P27*N49/365+H3))*(1+B3)</f>
        <v>-192.6672978547428</v>
      </c>
      <c r="Q51" s="99">
        <f>-(C3*Q27+D3*D27+D27*(Q27*N49/365+H3))*(1+B3)</f>
        <v>-218.03833362626</v>
      </c>
      <c r="R51" s="99">
        <f>-(C3*R27+D3*E27+E27*(R27*N49/365+H3))*(1+B3)</f>
        <v>-191.20661292323595</v>
      </c>
      <c r="S51" s="99">
        <f>-(C3*S27+D3*F27+F27*(S27*N49/365+H3))*(1+B3)</f>
        <v>-207.58218397518738</v>
      </c>
      <c r="T51" s="99">
        <f>-(C3*T27+D3*G27+G27*(T27*N49/365+H3))*(1+B3)</f>
        <v>-212.73516975962781</v>
      </c>
      <c r="U51" s="99">
        <f>-(C3*U27+D3*H27+H27*(U27*N49/365+H3))*(1+B3)</f>
        <v>-196.92654117342983</v>
      </c>
      <c r="V51" s="99">
        <f>-(C3*V27+D3*I27+I27*(V27*N49/365+H3))*(1+B3)</f>
        <v>-208.72264424915997</v>
      </c>
      <c r="W51" s="99">
        <f>-(C3*W27+D3*J27+J27*(W27*N49/365+H3))*(1+B3)</f>
        <v>-205.96653192039287</v>
      </c>
      <c r="X51" s="99">
        <f>-(C3*X27+D3*K27+K27*(X27*N49/365+H3))*(1+B3)</f>
        <v>-198.86414339622641</v>
      </c>
      <c r="Y51" s="99">
        <f>-(C3*Y27+D3*L27+L27*(Y27*N49/365+H3))*(1+B3)</f>
        <v>-198.33956531403462</v>
      </c>
      <c r="Z51" s="105">
        <f>-(C3*Z27+D3*M27+M27*(Z27*N49/365+H3))*(1+B3)</f>
        <v>1786.944625122771</v>
      </c>
    </row>
    <row r="52" spans="1:26" ht="16.5" x14ac:dyDescent="0.35">
      <c r="A52" s="1" t="s">
        <v>13</v>
      </c>
      <c r="B52" s="2">
        <f t="shared" ref="B52:L52" si="19">B28-C28</f>
        <v>-540</v>
      </c>
      <c r="C52" s="4">
        <f t="shared" si="19"/>
        <v>-140</v>
      </c>
      <c r="D52" s="4">
        <f t="shared" si="19"/>
        <v>-40</v>
      </c>
      <c r="E52" s="4">
        <f t="shared" si="19"/>
        <v>50</v>
      </c>
      <c r="F52" s="4">
        <f t="shared" si="19"/>
        <v>110</v>
      </c>
      <c r="G52" s="4">
        <f t="shared" si="19"/>
        <v>120</v>
      </c>
      <c r="H52" s="4">
        <f t="shared" si="19"/>
        <v>100</v>
      </c>
      <c r="I52" s="4">
        <f t="shared" si="19"/>
        <v>30</v>
      </c>
      <c r="J52" s="4">
        <f t="shared" si="19"/>
        <v>40</v>
      </c>
      <c r="K52" s="4">
        <f t="shared" si="19"/>
        <v>70</v>
      </c>
      <c r="L52" s="4">
        <f t="shared" si="19"/>
        <v>420</v>
      </c>
      <c r="M52" s="7">
        <f t="shared" si="17"/>
        <v>-220</v>
      </c>
      <c r="N52" s="115" t="s">
        <v>13</v>
      </c>
      <c r="O52" s="93">
        <f>-(C4*O28+D4*B28+B28*(O28*N49/365+H4))*(1+B4)</f>
        <v>-260.76000082579475</v>
      </c>
      <c r="P52" s="98">
        <f>-(C4*P28+D4*C28+C28*(P28*N49/365+H4))*(1+B4)</f>
        <v>-236.17153348798135</v>
      </c>
      <c r="Q52" s="98">
        <f>-(C4*Q28+D4*D28+D28*(Q28*N49/365+H4))*(1+B4)</f>
        <v>-256.61995361462908</v>
      </c>
      <c r="R52" s="98">
        <f>-(C4*R28+D4*E28+E28*(R28*N49/365+H4))*(1+B4)</f>
        <v>-236.77184211811831</v>
      </c>
      <c r="S52" s="98">
        <f>-(C4*S28+D4*F28+F28*(S28*N49/365+H4))*(1+B4)</f>
        <v>-269.9029682424399</v>
      </c>
      <c r="T52" s="98">
        <f>-(C4*T28+D4*G28+G28*(T28*N49/365+H4))*(1+B4)</f>
        <v>-249.53695297880586</v>
      </c>
      <c r="U52" s="98">
        <f>-(C4*U28+D4*H28+H28*(U28*N49/365+H4))*(1+B4)</f>
        <v>-242.47624275394156</v>
      </c>
      <c r="V52" s="98">
        <f>-(C4*V28+D4*I28+I28*(V28*N49/365+H4))*(1+B4)</f>
        <v>-268.64915584517962</v>
      </c>
      <c r="W52" s="98">
        <f>-(C4*W28+D4*J28+J28*(W28*N49/365+H4))*(1+B4)</f>
        <v>-268.53517289997416</v>
      </c>
      <c r="X52" s="98">
        <f>-(C4*X28+D4*K28+K28*(X28*N49/365+H4))*(1+B4)</f>
        <v>-248.51592058154557</v>
      </c>
      <c r="Y52" s="98">
        <f>-(C4*Y28+D4*L28+L28*(Y28*N49/365+H4))*(1+B4)</f>
        <v>-248.26946448565516</v>
      </c>
      <c r="Z52" s="106">
        <f>-(C4*Z28+D4*M28+M28*(Z28*N49/365+H4))*(1+B4)</f>
        <v>2166.9372350258463</v>
      </c>
    </row>
    <row r="53" spans="1:26" ht="16.5" x14ac:dyDescent="0.35">
      <c r="A53" s="1" t="s">
        <v>14</v>
      </c>
      <c r="B53" s="2">
        <f t="shared" ref="B53:L53" si="20">B29-C29</f>
        <v>-120</v>
      </c>
      <c r="C53" s="4">
        <f t="shared" si="20"/>
        <v>-35</v>
      </c>
      <c r="D53" s="4">
        <f t="shared" si="20"/>
        <v>-20</v>
      </c>
      <c r="E53" s="4">
        <f t="shared" si="20"/>
        <v>10</v>
      </c>
      <c r="F53" s="4">
        <f t="shared" si="20"/>
        <v>50</v>
      </c>
      <c r="G53" s="4">
        <f t="shared" si="20"/>
        <v>25</v>
      </c>
      <c r="H53" s="4">
        <f t="shared" si="20"/>
        <v>10</v>
      </c>
      <c r="I53" s="4">
        <f t="shared" si="20"/>
        <v>5</v>
      </c>
      <c r="J53" s="4">
        <f t="shared" si="20"/>
        <v>10</v>
      </c>
      <c r="K53" s="4">
        <f t="shared" si="20"/>
        <v>-25</v>
      </c>
      <c r="L53" s="4">
        <f t="shared" si="20"/>
        <v>70</v>
      </c>
      <c r="M53" s="7">
        <f t="shared" si="17"/>
        <v>20</v>
      </c>
      <c r="N53" s="115" t="s">
        <v>14</v>
      </c>
      <c r="O53" s="93">
        <f>-(C5*O29+E5+B29*(O29*N49/365+H5))*(1+B5)</f>
        <v>-83.54931205996381</v>
      </c>
      <c r="P53" s="99">
        <f>-(C5*P29+E5+C29*(P29*N49/365+H5))*(1+B5)</f>
        <v>-75.260178805892977</v>
      </c>
      <c r="Q53" s="99">
        <f>-(C5*Q29+E5+D29*(Q29*N49/365+H5))*(1+B5)</f>
        <v>-81.930034910829647</v>
      </c>
      <c r="R53" s="99">
        <f>-(C5*R29+E5+E29*(R29*N49/365+H5))*(1+B5)</f>
        <v>-75.440498942879287</v>
      </c>
      <c r="S53" s="99">
        <f>-(C5*S29+E5+F29*(S29*N49/365+H5))*(1+B5)</f>
        <v>-86.337535510467816</v>
      </c>
      <c r="T53" s="99">
        <f>-(C5*T29+E5+G29*(T29*N49/365+H5))*(1+B5)</f>
        <v>-79.606427213750308</v>
      </c>
      <c r="U53" s="99">
        <f>-(C5*U29+E5+H29*(U29*N49/365+H5))*(1+B5)</f>
        <v>-77.340821023520292</v>
      </c>
      <c r="V53" s="99">
        <f>-(C5*V29+E5+I29*(V29*N49/365+H5))*(1+B5)</f>
        <v>-86.019386332385622</v>
      </c>
      <c r="W53" s="99">
        <f>-(C5*W29+E5+J29*(W29*N49/365+H5))*(1+B5)</f>
        <v>-86.000671674851375</v>
      </c>
      <c r="X53" s="99">
        <f>-(C5*X29+E5+K29*(X29*N49/365+H5))*(1+B5)</f>
        <v>-79.433212145257158</v>
      </c>
      <c r="Y53" s="99">
        <f>-(C5*Y29+E5+L29*(Y29*N49/365+H5))*(1+B5)</f>
        <v>-79.51981967950374</v>
      </c>
      <c r="Z53" s="105">
        <f>-(C5*Z29+E5+M29*(Z29*N49/365+H5))*(1+B5)</f>
        <v>718.02918542258965</v>
      </c>
    </row>
    <row r="54" spans="1:26" ht="16.5" x14ac:dyDescent="0.35">
      <c r="A54" s="1" t="s">
        <v>15</v>
      </c>
      <c r="B54" s="2">
        <f t="shared" ref="B54:L54" si="21">B30-C30</f>
        <v>-530</v>
      </c>
      <c r="C54" s="4">
        <f t="shared" si="21"/>
        <v>-30</v>
      </c>
      <c r="D54" s="4">
        <f t="shared" si="21"/>
        <v>-5</v>
      </c>
      <c r="E54" s="4">
        <f t="shared" si="21"/>
        <v>35</v>
      </c>
      <c r="F54" s="4">
        <f t="shared" si="21"/>
        <v>70</v>
      </c>
      <c r="G54" s="4">
        <f t="shared" si="21"/>
        <v>95</v>
      </c>
      <c r="H54" s="4">
        <f t="shared" si="21"/>
        <v>-165</v>
      </c>
      <c r="I54" s="4">
        <f t="shared" si="21"/>
        <v>300</v>
      </c>
      <c r="J54" s="4">
        <f t="shared" si="21"/>
        <v>50</v>
      </c>
      <c r="K54" s="4">
        <f t="shared" si="21"/>
        <v>80</v>
      </c>
      <c r="L54" s="4">
        <f t="shared" si="21"/>
        <v>50</v>
      </c>
      <c r="M54" s="7">
        <f t="shared" si="17"/>
        <v>50</v>
      </c>
      <c r="N54" s="115" t="s">
        <v>15</v>
      </c>
      <c r="O54" s="93">
        <f>-(C6*O30+E6+B30*(O30*N49/365+H6))*(1+B6)</f>
        <v>-94.628708839493385</v>
      </c>
      <c r="P54" s="99">
        <f>-(C6*P30+E6+C30*(P30*N49/365+H6))*(1+B6)</f>
        <v>-86.635313145515624</v>
      </c>
      <c r="Q54" s="99">
        <f>-(C6*Q30+E6+D30*(Q30*N49/365+H6))*(1+B6)</f>
        <v>-94.18797203928662</v>
      </c>
      <c r="R54" s="99">
        <f>-(C6*R30+E6+E30*(R30*N49/365+H6))*(1+B6)</f>
        <v>-86.750062323597817</v>
      </c>
      <c r="S54" s="99">
        <f>-(C6*S30+E6+F30*(S30*N49/365+H6))*(1+B6)</f>
        <v>-99.04521906435771</v>
      </c>
      <c r="T54" s="99">
        <f>-(C6*T30+E6+G30*(T30*N49/365+H6))*(1+B6)</f>
        <v>-91.356774417162043</v>
      </c>
      <c r="U54" s="99">
        <f>-(C6*U30+E6+H30*(U30*N49/365+H6))*(1+B6)</f>
        <v>-88.561009260790897</v>
      </c>
      <c r="V54" s="99">
        <f>-(C6*V30+E6+I30*(V30*N49/365+H6))*(1+B6)</f>
        <v>-99.04521906435771</v>
      </c>
      <c r="W54" s="99">
        <f>-(C6*W30+E6+J30*(W30*N49/365+H6))*(1+B6)</f>
        <v>-97.922339612302906</v>
      </c>
      <c r="X54" s="99">
        <f>-(C6*X30+E6+K30*(X30*N49/365+H6))*(1+B6)</f>
        <v>-90.386770033600399</v>
      </c>
      <c r="Y54" s="99">
        <f>-(C6*Y30+E6+L30*(Y30*N49/365+H6))*(1+B6)</f>
        <v>-90.109625924011368</v>
      </c>
      <c r="Z54" s="105">
        <f>-(C6*Z30+E6+M30*(Z30*N49/365+H6))*(1+B6)</f>
        <v>804.58952194365452</v>
      </c>
    </row>
    <row r="55" spans="1:26" ht="16.5" x14ac:dyDescent="0.35">
      <c r="A55" s="1" t="s">
        <v>25</v>
      </c>
      <c r="B55" s="2">
        <f t="shared" ref="B55:L55" si="22">B31-C31</f>
        <v>290</v>
      </c>
      <c r="C55" s="4">
        <f t="shared" si="22"/>
        <v>-65</v>
      </c>
      <c r="D55" s="4">
        <f t="shared" si="22"/>
        <v>-25</v>
      </c>
      <c r="E55" s="4">
        <f t="shared" si="22"/>
        <v>-15</v>
      </c>
      <c r="F55" s="4">
        <f t="shared" si="22"/>
        <v>-15</v>
      </c>
      <c r="G55" s="4">
        <f t="shared" si="22"/>
        <v>20</v>
      </c>
      <c r="H55" s="4">
        <f t="shared" si="22"/>
        <v>-20</v>
      </c>
      <c r="I55" s="4">
        <f t="shared" si="22"/>
        <v>-65</v>
      </c>
      <c r="J55" s="4">
        <f t="shared" si="22"/>
        <v>-80</v>
      </c>
      <c r="K55" s="4">
        <f t="shared" si="22"/>
        <v>55</v>
      </c>
      <c r="L55" s="4">
        <f t="shared" si="22"/>
        <v>25</v>
      </c>
      <c r="M55" s="7">
        <f t="shared" si="17"/>
        <v>-105</v>
      </c>
      <c r="N55" s="115" t="s">
        <v>25</v>
      </c>
      <c r="O55" s="93">
        <f>-(C7*O31+B31*D7+B31*(O31*N49/365+H7))*(1+B7)</f>
        <v>-81.744080954251743</v>
      </c>
      <c r="P55" s="99">
        <f>-(C7*P31+C31*D7+C31*(P31*N49/365+H7))*(1+B7)</f>
        <v>-72.03496943086067</v>
      </c>
      <c r="Q55" s="99">
        <f>-(C7*Q31+D31*D7+D31*(Q31*N49/365+H7))*(1+B7)</f>
        <v>-78.740346730938214</v>
      </c>
      <c r="R55" s="99">
        <f>-(C7*R31+E31*D7+E31*(R31*N49/365+H7))*(1+B7)</f>
        <v>-72.338174745929166</v>
      </c>
      <c r="S55" s="99">
        <f>-(C7*S31+F31*D7+F31*(S31*N49/365+H7))*(1+B7)</f>
        <v>-83.217943780304978</v>
      </c>
      <c r="T55" s="99">
        <f>-(C7*T31+G31*D7+G31*(T31*N49/365+H7))*(1+B7)</f>
        <v>-76.773723411734281</v>
      </c>
      <c r="U55" s="99">
        <f>-(C7*U31+H31*D7+H31*(U31*N49/365+H7))*(1+B7)</f>
        <v>-74.537246804859137</v>
      </c>
      <c r="V55" s="99">
        <f>-(C7*V31+I31*D7+I31*(V31*N49/365+H7))*(1+B7)</f>
        <v>-83.275443752907719</v>
      </c>
      <c r="W55" s="99">
        <f>-(C7*W31+J31*D7+J31*(W31*N49/365+H7))*(1+B7)</f>
        <v>-83.524610300852913</v>
      </c>
      <c r="X55" s="99">
        <f>-(C7*X31+K31*D7+K31*(X31*N49/365+H7))*(1+B7)</f>
        <v>-77.289155110364433</v>
      </c>
      <c r="Y55" s="99">
        <f>-(C7*Y31+L31*D7+B31*(Y31*N49/365+H7))*(1+B7)</f>
        <v>-77.370790644610992</v>
      </c>
      <c r="Z55" s="105">
        <f>-(C7*Z31+M31*D7+M31*(Z31*N49/365+H7))*(1+B7)</f>
        <v>720.58791670871017</v>
      </c>
    </row>
    <row r="56" spans="1:26" ht="16.5" x14ac:dyDescent="0.35">
      <c r="A56" s="1" t="s">
        <v>26</v>
      </c>
      <c r="B56" s="2">
        <f t="shared" ref="B56:L56" si="23">B32-C32</f>
        <v>-21010</v>
      </c>
      <c r="C56" s="4">
        <f t="shared" si="23"/>
        <v>4770</v>
      </c>
      <c r="D56" s="4">
        <f t="shared" si="23"/>
        <v>3200</v>
      </c>
      <c r="E56" s="4">
        <f t="shared" si="23"/>
        <v>2780</v>
      </c>
      <c r="F56" s="4">
        <f t="shared" si="23"/>
        <v>1780</v>
      </c>
      <c r="G56" s="4">
        <f t="shared" si="23"/>
        <v>530</v>
      </c>
      <c r="H56" s="4">
        <f t="shared" si="23"/>
        <v>1820</v>
      </c>
      <c r="I56" s="4">
        <f t="shared" si="23"/>
        <v>3740</v>
      </c>
      <c r="J56" s="4">
        <f t="shared" si="23"/>
        <v>480</v>
      </c>
      <c r="K56" s="4">
        <f t="shared" si="23"/>
        <v>-830</v>
      </c>
      <c r="L56" s="4">
        <f t="shared" si="23"/>
        <v>3020</v>
      </c>
      <c r="M56" s="7">
        <f t="shared" si="17"/>
        <v>-280</v>
      </c>
      <c r="N56" s="115" t="s">
        <v>26</v>
      </c>
      <c r="O56" s="93">
        <f>-(C8*O32+E8+B32*(O32*N49/365+H8))*(1+B8)</f>
        <v>-755.5280616438356</v>
      </c>
      <c r="P56" s="99">
        <f>-(C8*P32+E8+C32*(P32*N49/365+H8))*(1+B8)</f>
        <v>-747.15240876712312</v>
      </c>
      <c r="Q56" s="99">
        <f>-(C8*Q32+E8+D32*(Q32*N49/365+H8))*(1+B8)</f>
        <v>-793.98214739726006</v>
      </c>
      <c r="R56" s="99">
        <f>-(C8*R32+E8+E32*(R32*N49/365+H8))*(1+B8)</f>
        <v>-721.0223816438355</v>
      </c>
      <c r="S56" s="99">
        <f>-(C8*S32+E8+F32*(S32*N49/365+H8))*(1+B8)</f>
        <v>-813.24502520547935</v>
      </c>
      <c r="T56" s="99">
        <f>-(C8*T32+E8+G32*(T32*N49/365+H8))*(1+B8)</f>
        <v>-746.27636465753415</v>
      </c>
      <c r="U56" s="99">
        <f>-(C8*U32+E8+H32*(U32*N49/365+H8))*(1+B8)</f>
        <v>-724.3874287671232</v>
      </c>
      <c r="V56" s="99">
        <f>-(C8*V32+E8+I32*(V32*N49/365+H8))*(1+B8)</f>
        <v>-797.78671808219167</v>
      </c>
      <c r="W56" s="99">
        <f>-(C8*W32+E8+J32*(W32*N49/365+H8))*(1+B8)</f>
        <v>-783.78815424657523</v>
      </c>
      <c r="X56" s="99">
        <f>-(C8*X32+E8+K32*(X32*N49/365+H8))*(1+B8)</f>
        <v>-723.51590465753407</v>
      </c>
      <c r="Y56" s="99">
        <f>-(C8*Y32+E8+L32*(Y32*N49/365+H8))*(1+B8)</f>
        <v>-726.39127479452043</v>
      </c>
      <c r="Z56" s="105">
        <f>-(C8*Z32+E8+M32*(Z32*N49/365+H8))*(1+B8)</f>
        <v>6362.9433769863008</v>
      </c>
    </row>
    <row r="57" spans="1:26" ht="16.5" x14ac:dyDescent="0.35">
      <c r="A57" s="1" t="s">
        <v>16</v>
      </c>
      <c r="B57" s="2">
        <f t="shared" ref="B57:L57" si="24">B33-C33</f>
        <v>109</v>
      </c>
      <c r="C57" s="4">
        <f t="shared" si="24"/>
        <v>-7</v>
      </c>
      <c r="D57" s="4">
        <f t="shared" si="24"/>
        <v>-7</v>
      </c>
      <c r="E57" s="4">
        <f t="shared" si="24"/>
        <v>-8</v>
      </c>
      <c r="F57" s="4">
        <f t="shared" si="24"/>
        <v>-8</v>
      </c>
      <c r="G57" s="4">
        <f t="shared" si="24"/>
        <v>-10</v>
      </c>
      <c r="H57" s="4">
        <f t="shared" si="24"/>
        <v>-13</v>
      </c>
      <c r="I57" s="4">
        <f t="shared" si="24"/>
        <v>-12</v>
      </c>
      <c r="J57" s="4">
        <f t="shared" si="24"/>
        <v>-7</v>
      </c>
      <c r="K57" s="4">
        <f t="shared" si="24"/>
        <v>-12</v>
      </c>
      <c r="L57" s="4">
        <f t="shared" si="24"/>
        <v>-5</v>
      </c>
      <c r="M57" s="7">
        <f>M33-B33</f>
        <v>-20</v>
      </c>
      <c r="N57" s="115" t="s">
        <v>16</v>
      </c>
      <c r="O57" s="93">
        <f>-(C9*O33+B33*D9+B33*(O33*N49/365+H9))*(1+B9)</f>
        <v>-19.624499128973895</v>
      </c>
      <c r="P57" s="99">
        <f>-(C9*P33+C33*D9+C33*(P33*N49/365+H9))*(1+B9)</f>
        <v>-17.303054261824755</v>
      </c>
      <c r="Q57" s="99">
        <f>-(C9*Q33+D33*D9+D33*(Q33*N49/365+H9))*(1+B9)</f>
        <v>-18.762199429309899</v>
      </c>
      <c r="R57" s="99">
        <f>-(C9*R33+E33*D9+E33*(R33*N49/365+H9))*(1+B9)</f>
        <v>-17.350535933057635</v>
      </c>
      <c r="S57" s="99">
        <f>-(C9*S33+F33*D9+F33*(S33*N49/365+H9))*(1+B9)</f>
        <v>-19.776974623158438</v>
      </c>
      <c r="T57" s="99">
        <f>-(C9*T33+G33*D9+G33*(T33*N49/365+H9))*(1+B9)</f>
        <v>-18.366009250193844</v>
      </c>
      <c r="U57" s="99">
        <f>-(C9*U33+H33*D9+H33*(U33*N49/365+H9))*(1+B9)</f>
        <v>-17.920249221762727</v>
      </c>
      <c r="V57" s="99">
        <f>-(C9*V33+I33*D9+I33*(V33*N49/365+H9))*(1+B9)</f>
        <v>-19.896508499870766</v>
      </c>
      <c r="W57" s="99">
        <f>-(C9*W33+J33*D9+J33*(W33*N49/365+H9))*(1+B9)</f>
        <v>-19.942779677952959</v>
      </c>
      <c r="X57" s="99">
        <f>-(C9*X33+K33*D9+K33*(X33*N49/365+H9))*(1+B9)</f>
        <v>-18.516255907728091</v>
      </c>
      <c r="Y57" s="99">
        <f>-(C9*Y33+L33*D9+L33*(Y33*N49/365+H9))*(1+B9)</f>
        <v>-18.55918352416645</v>
      </c>
      <c r="Z57" s="105">
        <f>-(C9*Z33+M33*D9+M33*(Z33*N49/365+H9))*(1+B9)</f>
        <v>159.81575834841041</v>
      </c>
    </row>
    <row r="58" spans="1:26" ht="16.5" x14ac:dyDescent="0.35">
      <c r="A58" s="1" t="s">
        <v>30</v>
      </c>
      <c r="B58" s="2">
        <f t="shared" ref="B58:L58" si="25">B34-C34</f>
        <v>-6</v>
      </c>
      <c r="C58" s="4">
        <f t="shared" si="25"/>
        <v>-50</v>
      </c>
      <c r="D58" s="4">
        <f t="shared" si="25"/>
        <v>-19</v>
      </c>
      <c r="E58" s="4">
        <f t="shared" si="25"/>
        <v>-18</v>
      </c>
      <c r="F58" s="4">
        <f t="shared" si="25"/>
        <v>23</v>
      </c>
      <c r="G58" s="4">
        <f t="shared" si="25"/>
        <v>-2</v>
      </c>
      <c r="H58" s="4">
        <f t="shared" si="25"/>
        <v>-4</v>
      </c>
      <c r="I58" s="4">
        <f t="shared" si="25"/>
        <v>2</v>
      </c>
      <c r="J58" s="4">
        <f t="shared" si="25"/>
        <v>16</v>
      </c>
      <c r="K58" s="4">
        <f t="shared" si="25"/>
        <v>7</v>
      </c>
      <c r="L58" s="4">
        <f t="shared" si="25"/>
        <v>2</v>
      </c>
      <c r="M58" s="7">
        <f>M34-B34</f>
        <v>49</v>
      </c>
      <c r="N58" s="115" t="s">
        <v>30</v>
      </c>
      <c r="O58" s="93">
        <f>-(C10*O34+B34*D10+B34*(O34*N49/365+H10))*(1+B10)</f>
        <v>-20.481662337554919</v>
      </c>
      <c r="P58" s="99">
        <f>-(C10*P34+C34*D10+C34*(O34*N49/365+H10))*(1+B10)</f>
        <v>-19.865296024812611</v>
      </c>
      <c r="Q58" s="99">
        <f>-(C10*Q34+C34*D10+C34*(O34*N49/365+H10))*(1+B10)</f>
        <v>-20.345013005944686</v>
      </c>
      <c r="R58" s="99">
        <f>-(C10*R34+E34*D10+E34*(O34*N49/365+H10))*(1+B10)</f>
        <v>-20.132743805634529</v>
      </c>
      <c r="S58" s="99">
        <f>-(C10*S34+F34*D10+F34*(O34*N49/365+H10))*(1+B10)</f>
        <v>-21.002041093822687</v>
      </c>
      <c r="T58" s="99">
        <f>-(C10*T34+G34*D10+G34*(O34*N49/365+H10))*(1+B10)</f>
        <v>-20.433174852416641</v>
      </c>
      <c r="U58" s="99">
        <f>-(C10*U34+H34*D10+H34*(O34*N49/365+H10))*(1+B10)</f>
        <v>-20.281021301628321</v>
      </c>
      <c r="V58" s="99">
        <f>-(C10*V34+I34*D10+I34*(O34*N49/365+H10))*(1+B10)</f>
        <v>-20.936148162315838</v>
      </c>
      <c r="W58" s="99">
        <f>-(C10*W34+J34*D10+J34*(O34*N49/365+H10))*(1+B10)</f>
        <v>-20.928396052726804</v>
      </c>
      <c r="X58" s="99">
        <f>-(C10*X34+K34*D10+K34*(O34*N49/365+H10))*(1+B10)</f>
        <v>-20.386662194882398</v>
      </c>
      <c r="Y58" s="99">
        <f>-(C10*Y34+L34*D10+L34*(O34*N49/365+H10))*(1+B10)</f>
        <v>-20.359529811320755</v>
      </c>
      <c r="Z58" s="105">
        <f>-(C10*Z34+M34*D10+M34*(O34*N49/365+H10))*(1+B10)</f>
        <v>38.333599656758857</v>
      </c>
    </row>
    <row r="59" spans="1:26" ht="16.5" x14ac:dyDescent="0.35">
      <c r="A59" s="1" t="s">
        <v>31</v>
      </c>
      <c r="B59" s="2">
        <f t="shared" ref="B59:L59" si="26">B35-C35</f>
        <v>-138</v>
      </c>
      <c r="C59" s="4">
        <f t="shared" si="26"/>
        <v>-5</v>
      </c>
      <c r="D59" s="4">
        <f t="shared" si="26"/>
        <v>10</v>
      </c>
      <c r="E59" s="4">
        <f t="shared" si="26"/>
        <v>21</v>
      </c>
      <c r="F59" s="4">
        <f t="shared" si="26"/>
        <v>9</v>
      </c>
      <c r="G59" s="4">
        <f t="shared" si="26"/>
        <v>9</v>
      </c>
      <c r="H59" s="4">
        <f t="shared" si="26"/>
        <v>12</v>
      </c>
      <c r="I59" s="4">
        <f t="shared" si="26"/>
        <v>-3</v>
      </c>
      <c r="J59" s="4">
        <f t="shared" si="26"/>
        <v>25</v>
      </c>
      <c r="K59" s="4">
        <f t="shared" si="26"/>
        <v>28</v>
      </c>
      <c r="L59" s="4">
        <f t="shared" si="26"/>
        <v>5</v>
      </c>
      <c r="M59" s="7">
        <f>M35-B35</f>
        <v>27</v>
      </c>
      <c r="N59" s="115" t="s">
        <v>31</v>
      </c>
      <c r="O59" s="93">
        <f>-(C11*O35+B35*D11+B35*(O35*N49/365+H11))*(1+B11)</f>
        <v>-49.702699930731448</v>
      </c>
      <c r="P59" s="99">
        <f>-(C11*P35+C35*D11+C35*(P35*N49/365+H11))*(1+B11)</f>
        <v>-44.427976055828374</v>
      </c>
      <c r="Q59" s="99">
        <f>-(C11*Q35+D35*D11+D35*(Q35*N49/365+H11))*(1+B11)</f>
        <v>-48.804106523649509</v>
      </c>
      <c r="R59" s="99">
        <f>-(C11*R35+E35*D11+E35*(R35*N49/365+H11))*(1+B11)</f>
        <v>-44.410453316102341</v>
      </c>
      <c r="S59" s="99">
        <f>-(C11*S35+F35*D11+F35*(S35*N49/365+H11))*(1+B11)</f>
        <v>-51.586808132333928</v>
      </c>
      <c r="T59" s="99">
        <f>-(C11*T35+G35*D11+G35*(T35*N49/365+H11))*(1+B11)</f>
        <v>-47.203625226156618</v>
      </c>
      <c r="U59" s="99">
        <f>-(C11*U35+H35*D11+H35*(U35*N49/365+H11))*(1+B11)</f>
        <v>-45.722094230033591</v>
      </c>
      <c r="V59" s="99">
        <f>-(C11*V35+I35*D11+I35*(V35*N49/365+H11))*(1+B11)</f>
        <v>-51.467740187128449</v>
      </c>
      <c r="W59" s="99">
        <f>-(C11*W35+J35*D11+J35*(W35*N49/365+H11))*(1+B11)</f>
        <v>-51.47964698164899</v>
      </c>
      <c r="X59" s="99">
        <f>-(C11*X35+K35*D11+K35*(X35*N49/365+H11))*(1+B11)</f>
        <v>-47.044942267252509</v>
      </c>
      <c r="Y59" s="99">
        <f>-(C11*Y35+L35*D11+L35*(Y35*N49/365+H11))*(1+B11)</f>
        <v>-46.941613828896344</v>
      </c>
      <c r="Z59" s="105">
        <f>-(C11*Z35+M35*D11+M35*(Z35*N49/365+H11))*(1+B11)</f>
        <v>482.32590235099502</v>
      </c>
    </row>
    <row r="60" spans="1:26" ht="16.5" x14ac:dyDescent="0.35">
      <c r="A60" s="1" t="s">
        <v>32</v>
      </c>
      <c r="B60" s="112">
        <f t="shared" ref="B60:L60" si="27">B36-C36</f>
        <v>27</v>
      </c>
      <c r="C60" s="4">
        <f t="shared" si="27"/>
        <v>40</v>
      </c>
      <c r="D60" s="4">
        <f t="shared" si="27"/>
        <v>-29</v>
      </c>
      <c r="E60" s="4">
        <f t="shared" si="27"/>
        <v>-13</v>
      </c>
      <c r="F60" s="4">
        <f t="shared" si="27"/>
        <v>-15</v>
      </c>
      <c r="G60" s="4">
        <f t="shared" si="27"/>
        <v>2</v>
      </c>
      <c r="H60" s="4">
        <f t="shared" si="27"/>
        <v>7</v>
      </c>
      <c r="I60" s="4">
        <f t="shared" si="27"/>
        <v>2</v>
      </c>
      <c r="J60" s="4">
        <f t="shared" si="27"/>
        <v>-9</v>
      </c>
      <c r="K60" s="4">
        <f t="shared" si="27"/>
        <v>3</v>
      </c>
      <c r="L60" s="4">
        <f t="shared" si="27"/>
        <v>-7</v>
      </c>
      <c r="M60" s="7">
        <f>M36-B36</f>
        <v>-8</v>
      </c>
      <c r="N60" s="115" t="s">
        <v>32</v>
      </c>
      <c r="O60" s="93">
        <f>-(C12*O36+B36*D12+B36*(O36*N49/365+H12))*(1+B12)</f>
        <v>-37.524302326182472</v>
      </c>
      <c r="P60" s="99">
        <f>-(C12*P36+C36*D12+C36*(P36*N49/365+H12))*(1+B12)</f>
        <v>-68.360414474024296</v>
      </c>
      <c r="Q60" s="99">
        <f>-(C12*Q36+D36*D12+D36*(Q36*N49/365+H12))*(1+B12)</f>
        <v>-52.770894701473246</v>
      </c>
      <c r="R60" s="99">
        <f>-(C12*R36+E36*D12+E36*(R36*N49/365+H12))*(1+B12)</f>
        <v>-55.958649340914967</v>
      </c>
      <c r="S60" s="99">
        <f>-(C12*S36+F36*D12+F36*(S36*N49/365+H12))*(1+B12)</f>
        <v>-42.095943189454637</v>
      </c>
      <c r="T60" s="99">
        <f>-(C12*T36+G36*D12+G36*(T36*N49/365+H12))*(1+B12)</f>
        <v>-48.325297673817524</v>
      </c>
      <c r="U60" s="99">
        <f>-(C12*U36+H36*D12+H36*(U36*N49/365+H12))*(1+B12)</f>
        <v>-46.772430628069266</v>
      </c>
      <c r="V60" s="99">
        <f>-(C12*V36+I36*D12+I36*(V36*N49/365+H12))*(1+B12)</f>
        <v>-52.93468648229517</v>
      </c>
      <c r="W60" s="99">
        <f>-(C12*W36+J36*D12+J36*(W36*N49/365+H12))*(1+B12)</f>
        <v>-57.565249263375549</v>
      </c>
      <c r="X60" s="99">
        <f>-(C12*X36+K36*D12+K36*(X36*N49/365+H12))*(1+B12)</f>
        <v>526.99225430343756</v>
      </c>
      <c r="Y60" s="99">
        <f>-(C12*Y36+L36*D12+L36*(Y36*N49/365+H12))*(1+B12)</f>
        <v>-615.79751853192045</v>
      </c>
      <c r="Z60" s="105">
        <f>-(C12*Z36+M36*D12+M36*(Z36*N49/365+H12))*(1+B12)</f>
        <v>528.6487569656241</v>
      </c>
    </row>
    <row r="61" spans="1:26" ht="16.5" x14ac:dyDescent="0.35">
      <c r="A61" s="1" t="s">
        <v>29</v>
      </c>
      <c r="B61" s="2"/>
      <c r="C61" s="4">
        <f>C37-E37</f>
        <v>-1.1800000000000068</v>
      </c>
      <c r="D61" s="4"/>
      <c r="E61" s="4">
        <f>E37-G37</f>
        <v>-0.71999999999997044</v>
      </c>
      <c r="F61" s="4"/>
      <c r="G61" s="4">
        <f>G37-I37</f>
        <v>-0.78000000000002956</v>
      </c>
      <c r="H61" s="4"/>
      <c r="I61" s="4">
        <f>I37-K37</f>
        <v>-0.68000000000000682</v>
      </c>
      <c r="J61" s="4"/>
      <c r="K61" s="4">
        <f>K37-M37</f>
        <v>-0.77999999999997272</v>
      </c>
      <c r="L61" s="4"/>
      <c r="M61" s="7">
        <f>M37-C37</f>
        <v>4.1399999999999864</v>
      </c>
      <c r="N61" s="115" t="s">
        <v>29</v>
      </c>
      <c r="O61" s="107"/>
      <c r="P61" s="99">
        <f>-(C13*P37+E13+C37*(P37*N49/365+H13))*(1+B13)</f>
        <v>-2.4335096179891442</v>
      </c>
      <c r="Q61" s="99"/>
      <c r="R61" s="99">
        <f>-(C13*R37+E13+E37*(R37*N49/365+H13))*(1+B13)</f>
        <v>-2.3689030354096667</v>
      </c>
      <c r="S61" s="99"/>
      <c r="T61" s="99">
        <f>-(C13*T37+E13+G37*(T37*N49/365+H13))*(1+B13)</f>
        <v>-2.4441756453864043</v>
      </c>
      <c r="U61" s="99"/>
      <c r="V61" s="99">
        <f>-(C13*V37+E13+I37*(V37*N49/365+H13))*(1+B13)</f>
        <v>-2.4842929914706642</v>
      </c>
      <c r="W61" s="99"/>
      <c r="X61" s="99">
        <f>-(C13*X37+E13+K37*(X37*N49/365+H13))*(1+B13)</f>
        <v>-2.4881661969501163</v>
      </c>
      <c r="Y61" s="99"/>
      <c r="Z61" s="105">
        <f>-(C13*Z37+E13+M37*(Z37*N49/365+H13))*(1+B13)</f>
        <v>10.66751965158956</v>
      </c>
    </row>
    <row r="62" spans="1:26" ht="16.5" x14ac:dyDescent="0.35">
      <c r="A62" s="1" t="s">
        <v>17</v>
      </c>
      <c r="B62" s="2"/>
      <c r="C62" s="4"/>
      <c r="D62" s="4">
        <f t="shared" ref="D62:K64" si="28">D38-E38</f>
        <v>-95</v>
      </c>
      <c r="E62" s="4">
        <f t="shared" si="28"/>
        <v>-70</v>
      </c>
      <c r="F62" s="4">
        <f t="shared" si="28"/>
        <v>30</v>
      </c>
      <c r="G62" s="4">
        <f t="shared" si="28"/>
        <v>15</v>
      </c>
      <c r="H62" s="4">
        <f t="shared" si="28"/>
        <v>-10</v>
      </c>
      <c r="I62" s="4">
        <f t="shared" si="28"/>
        <v>5</v>
      </c>
      <c r="J62" s="4">
        <f t="shared" si="28"/>
        <v>-30</v>
      </c>
      <c r="K62" s="4">
        <f t="shared" si="28"/>
        <v>-10</v>
      </c>
      <c r="L62" s="4"/>
      <c r="M62" s="7"/>
      <c r="N62" s="115" t="s">
        <v>17</v>
      </c>
      <c r="O62" s="107"/>
      <c r="P62" s="99"/>
      <c r="Q62" s="99">
        <f>-(C14*Q38+E14+D38*(Q38*N49/365+H14))*(1+B14)</f>
        <v>-84.985319462393392</v>
      </c>
      <c r="R62" s="99">
        <f>-(C14*R38+E14+E38*(R38*N49/365+H14))*(1+B14)</f>
        <v>-77.915789912121994</v>
      </c>
      <c r="S62" s="99">
        <f>-(C14*S38+E14+F38*(S38*N49/365+H14))*(1+B14)</f>
        <v>-90.494352724218146</v>
      </c>
      <c r="T62" s="99">
        <f>-(C14*T38+E14+G38*(T38*N49/365+H14))*(1+B14)</f>
        <v>-82.979789612302923</v>
      </c>
      <c r="U62" s="99">
        <f>-(C14*U38+E14+H38*(U38*N49/365+H14))*(1+B14)</f>
        <v>-80.462258392349455</v>
      </c>
      <c r="V62" s="99">
        <f>-(C14*V38+E14+I38*(V38*N49/365+H14))*(1+B14)</f>
        <v>-90.367987381752386</v>
      </c>
      <c r="W62" s="99">
        <f>-(C14*W38+E14+J38*(W38*N49/365+H14))*(1+B14)</f>
        <v>-80.478518803308347</v>
      </c>
      <c r="X62" s="99">
        <f>-(C14*X38+E14+K38*(X38*N49/365+H14))*(1+B14)</f>
        <v>-87.987706572757816</v>
      </c>
      <c r="Y62" s="99"/>
      <c r="Z62" s="105"/>
    </row>
    <row r="63" spans="1:26" ht="16.5" x14ac:dyDescent="0.35">
      <c r="A63" s="6" t="s">
        <v>10</v>
      </c>
      <c r="B63" s="2">
        <f>B39-C39</f>
        <v>252</v>
      </c>
      <c r="C63" s="4">
        <f>C39-D39</f>
        <v>-7</v>
      </c>
      <c r="D63" s="111">
        <f t="shared" si="28"/>
        <v>-49</v>
      </c>
      <c r="E63" s="4">
        <f t="shared" si="28"/>
        <v>-32</v>
      </c>
      <c r="F63" s="4">
        <f t="shared" si="28"/>
        <v>-26</v>
      </c>
      <c r="G63" s="4">
        <f t="shared" si="28"/>
        <v>-26</v>
      </c>
      <c r="H63" s="4">
        <f t="shared" si="28"/>
        <v>-20</v>
      </c>
      <c r="I63" s="4">
        <f t="shared" si="28"/>
        <v>-18</v>
      </c>
      <c r="J63" s="4">
        <f t="shared" si="28"/>
        <v>-17</v>
      </c>
      <c r="K63" s="4">
        <f t="shared" si="28"/>
        <v>-55</v>
      </c>
      <c r="L63" s="4">
        <f>L39-M39</f>
        <v>-14</v>
      </c>
      <c r="M63" s="7">
        <f>M39-B39</f>
        <v>12</v>
      </c>
      <c r="N63" s="116" t="s">
        <v>10</v>
      </c>
      <c r="O63" s="93">
        <f>-(C15*O39+E15+B39*(O39*N49/365+H15))*(1+B15)</f>
        <v>-61.672510249159984</v>
      </c>
      <c r="P63" s="99">
        <f>-(C15*P39+E15+C39*(P39*N49/365+H15))*(1+B15)</f>
        <v>-64.77982718273455</v>
      </c>
      <c r="Q63" s="99">
        <f>-(C15*Q39+E15+D39*(Q39*N49/365+H15))*(1+B15)</f>
        <v>-58.867403097441198</v>
      </c>
      <c r="R63" s="99">
        <f>-(C15*R39+E15+E39*(R39*N49/365+H15))*(1+B15)</f>
        <v>-68.946347294391302</v>
      </c>
      <c r="S63" s="99">
        <f>-(C15*S39+E15+F39*(S39*N49/365+H15))*(1+B15)</f>
        <v>-63.106227729645894</v>
      </c>
      <c r="T63" s="99">
        <f>-(C15*T39+E15+G39*(T39*N49/365+H15))*(1+B15)</f>
        <v>-65.185345484104403</v>
      </c>
      <c r="U63" s="99">
        <f>-(C15*U39+E15+H39*(U39*N49/365+H15))*(1+B15)</f>
        <v>-65.277832114241392</v>
      </c>
      <c r="V63" s="99">
        <f>-(C15*V39+E15+I39*(V39*N49/365+H15))*(1+B15)</f>
        <v>664.2055029490823</v>
      </c>
      <c r="W63" s="99">
        <f>-(C15*W39+E15+J39*(W39*N49/365+H15))*(1+B15)</f>
        <v>-793.5843652587231</v>
      </c>
      <c r="X63" s="99">
        <f>-(C15*X39+E15+K39*(X39*N49/365+H15))*(1+B15)</f>
        <v>-63.476907976221234</v>
      </c>
      <c r="Y63" s="99">
        <f>-(C15*Y39+E15+L39*(Y39*N49/365+H15))*(1+B15)</f>
        <v>-61.665767399844917</v>
      </c>
      <c r="Z63" s="105">
        <f>-(C15*Z39+E15+M39*(Z39*N49/365+H15))*(1+B15)</f>
        <v>663.36486075523374</v>
      </c>
    </row>
    <row r="64" spans="1:26" ht="16.5" x14ac:dyDescent="0.35">
      <c r="A64" s="6" t="s">
        <v>21</v>
      </c>
      <c r="B64" s="2">
        <f>B40-C40</f>
        <v>-415</v>
      </c>
      <c r="C64" s="4">
        <f>C40-D40</f>
        <v>320</v>
      </c>
      <c r="D64" s="111">
        <f t="shared" si="28"/>
        <v>-289</v>
      </c>
      <c r="E64" s="4">
        <f t="shared" si="28"/>
        <v>176</v>
      </c>
      <c r="F64" s="4">
        <f t="shared" si="28"/>
        <v>88</v>
      </c>
      <c r="G64" s="4">
        <f t="shared" si="28"/>
        <v>78</v>
      </c>
      <c r="H64" s="4">
        <f t="shared" si="28"/>
        <v>81</v>
      </c>
      <c r="I64" s="4">
        <f t="shared" si="28"/>
        <v>103</v>
      </c>
      <c r="J64" s="4">
        <f t="shared" si="28"/>
        <v>-389</v>
      </c>
      <c r="K64" s="4">
        <f t="shared" si="28"/>
        <v>191</v>
      </c>
      <c r="L64" s="4">
        <f>L40-M40</f>
        <v>38</v>
      </c>
      <c r="M64" s="7">
        <f>M40-B40</f>
        <v>18</v>
      </c>
      <c r="N64" s="116" t="s">
        <v>21</v>
      </c>
      <c r="O64" s="93">
        <f>-(C16*O40+E16+B40*(O40*N49/365+H16))*(1+B16)</f>
        <v>-45.710759785474288</v>
      </c>
      <c r="P64" s="99">
        <f>-(C16*P40+E16+C40*(P40*N49/365+H16))*(1+B16)</f>
        <v>-50.030785887826312</v>
      </c>
      <c r="Q64" s="99">
        <f>-(C16*Q40+E16+D40*(Q40*N49/365+H16))*(1+B16)</f>
        <v>-44.563170090462648</v>
      </c>
      <c r="R64" s="99">
        <f>-(C16*R40+E16+E40*(R40*N49/365+H16))*(1+B16)</f>
        <v>-52.889274291548197</v>
      </c>
      <c r="S64" s="99">
        <f>-(C16*S40+E16+F40*(S40*N49/365+H16))*(1+B16)</f>
        <v>-47.85385394623934</v>
      </c>
      <c r="T64" s="99">
        <f>-(C16*T40+E16+G40*(T40*N49/365+H16))*(1+B16)</f>
        <v>-49.018564107004401</v>
      </c>
      <c r="U64" s="99">
        <f>-(C16*U40+E16+H40*(U40*N49/365+H16))*(1+B16)</f>
        <v>-48.75092580563453</v>
      </c>
      <c r="V64" s="99">
        <f>-(C16*V40+E16+I40*(V40*N49/365+H16))*(1+B16)</f>
        <v>480.22592752752644</v>
      </c>
      <c r="W64" s="99">
        <f>-(C16*W40+E16+J40*(W40*N49/365+H16))*(1+B16)</f>
        <v>-572.00586259446879</v>
      </c>
      <c r="X64" s="99">
        <f>-(C16*X40+E16+K40*(X40*N49/365+H16))*(1+B16)</f>
        <v>-47.984179124321528</v>
      </c>
      <c r="Y64" s="99">
        <f>-(C16*Y40+E16+L40*(Y40*N49/365+H16))*(1+B16)</f>
        <v>-45.892876388214013</v>
      </c>
      <c r="Z64" s="105">
        <f>-(C16*Z40+E16+M40*(Z40*N49/365+H16))*(1+B16)</f>
        <v>479.0000739731197</v>
      </c>
    </row>
    <row r="65" spans="1:26" ht="16.5" x14ac:dyDescent="0.35">
      <c r="A65" s="6" t="s">
        <v>19</v>
      </c>
      <c r="B65" s="2">
        <f t="shared" ref="B65:B71" si="29">B41-D41</f>
        <v>-573</v>
      </c>
      <c r="C65" s="4"/>
      <c r="D65" s="111">
        <f t="shared" ref="D65:D71" si="30">D41-F41</f>
        <v>405</v>
      </c>
      <c r="E65" s="4"/>
      <c r="F65" s="4">
        <f t="shared" ref="F65:F71" si="31">F41-H41</f>
        <v>26</v>
      </c>
      <c r="G65" s="4"/>
      <c r="H65" s="111">
        <f t="shared" ref="H65:H71" si="32">H41-J41</f>
        <v>-16</v>
      </c>
      <c r="I65" s="4"/>
      <c r="J65" s="4">
        <f t="shared" ref="J65:J70" si="33">J41-L41</f>
        <v>36</v>
      </c>
      <c r="K65" s="4"/>
      <c r="L65" s="111">
        <f t="shared" ref="L65:L70" si="34">L41-B41</f>
        <v>122</v>
      </c>
      <c r="M65" s="7"/>
      <c r="N65" s="116" t="s">
        <v>19</v>
      </c>
      <c r="O65" s="93">
        <f>-(C17*O41+E17+B41*(O41*N49/365+H17))*(1+B17)</f>
        <v>-50.068076227448948</v>
      </c>
      <c r="P65" s="99"/>
      <c r="Q65" s="99">
        <f>-(C17*Q41+E17+D41*(Q41*N49/365+H17))*(1+B17)</f>
        <v>-63.178252577410184</v>
      </c>
      <c r="R65" s="99"/>
      <c r="S65" s="99">
        <f>-(C17*S41+E17+F41*(S41*N49/365+H17))*(1+B17)</f>
        <v>-51.880945746187649</v>
      </c>
      <c r="T65" s="99"/>
      <c r="U65" s="99">
        <f>-(C17*U41+E17+H41*(U41*N49/365+H17))*(1+B17)</f>
        <v>-57.735872322563971</v>
      </c>
      <c r="V65" s="99"/>
      <c r="W65" s="99">
        <f>-(C17*W41+E17+J41*(W41*N49/365+H17))*(1+B17)</f>
        <v>-51.823339992762982</v>
      </c>
      <c r="X65" s="99"/>
      <c r="Y65" s="99">
        <f>-(C17*Y41+E17+L41*(Y41*N49/365+H17))*(1+B17)</f>
        <v>254.84017598966142</v>
      </c>
      <c r="Z65" s="105"/>
    </row>
    <row r="66" spans="1:26" ht="16.5" x14ac:dyDescent="0.35">
      <c r="A66" s="6" t="s">
        <v>20</v>
      </c>
      <c r="B66" s="2">
        <f t="shared" si="29"/>
        <v>-67</v>
      </c>
      <c r="C66" s="4"/>
      <c r="D66" s="111">
        <f t="shared" si="30"/>
        <v>-24</v>
      </c>
      <c r="E66" s="4"/>
      <c r="F66" s="4">
        <f t="shared" si="31"/>
        <v>51</v>
      </c>
      <c r="G66" s="4"/>
      <c r="H66" s="4">
        <f t="shared" si="32"/>
        <v>17</v>
      </c>
      <c r="I66" s="4"/>
      <c r="J66" s="4">
        <f t="shared" si="33"/>
        <v>10</v>
      </c>
      <c r="K66" s="4"/>
      <c r="L66" s="4">
        <f t="shared" si="34"/>
        <v>13</v>
      </c>
      <c r="M66" s="7"/>
      <c r="N66" s="116" t="s">
        <v>20</v>
      </c>
      <c r="O66" s="93">
        <f>-(C18*O42+E18+B42*(O42*N49/365+H18))*(1+B18)</f>
        <v>-60.10130225484621</v>
      </c>
      <c r="P66" s="99"/>
      <c r="Q66" s="99">
        <f>-(C18*Q42+E18+D42*(Q42*N49/365+H18))*(1+B18)</f>
        <v>-71.567895974670449</v>
      </c>
      <c r="R66" s="99"/>
      <c r="S66" s="99">
        <f>-(C18*S42+E18+F42*(S42*N49/365+H18))*(1+B18)</f>
        <v>-61.627388294132849</v>
      </c>
      <c r="T66" s="99"/>
      <c r="U66" s="99">
        <f>-(C18*U42+E18+H42*(U42*N49/365+H18))*(1+B18)</f>
        <v>-68.371799665029727</v>
      </c>
      <c r="V66" s="99"/>
      <c r="W66" s="99">
        <f>-(C18*W42+E18+J42*(W42*N49/365+H18))*(1+B18)</f>
        <v>-61.235669170845178</v>
      </c>
      <c r="X66" s="99"/>
      <c r="Y66" s="99">
        <f>-(C18*Y42+E18+L42*(Y42*N49/365+H18))*(1+B18)</f>
        <v>297.90966253760661</v>
      </c>
      <c r="Z66" s="105"/>
    </row>
    <row r="67" spans="1:26" ht="16.5" x14ac:dyDescent="0.35">
      <c r="A67" s="6" t="s">
        <v>28</v>
      </c>
      <c r="B67" s="2">
        <f t="shared" si="29"/>
        <v>-29</v>
      </c>
      <c r="C67" s="4"/>
      <c r="D67" s="111">
        <f t="shared" si="30"/>
        <v>-32</v>
      </c>
      <c r="E67" s="4"/>
      <c r="F67" s="4">
        <f t="shared" si="31"/>
        <v>3</v>
      </c>
      <c r="G67" s="4"/>
      <c r="H67" s="4">
        <f t="shared" si="32"/>
        <v>15</v>
      </c>
      <c r="I67" s="4"/>
      <c r="J67" s="4">
        <f t="shared" si="33"/>
        <v>28</v>
      </c>
      <c r="K67" s="4"/>
      <c r="L67" s="4">
        <f t="shared" si="34"/>
        <v>15</v>
      </c>
      <c r="M67" s="7"/>
      <c r="N67" s="116" t="s">
        <v>28</v>
      </c>
      <c r="O67" s="93">
        <f>-(C19*O43+E19+B43*(O43*N49/365+H19))*(1+B19)</f>
        <v>-50.362387834582577</v>
      </c>
      <c r="P67" s="99"/>
      <c r="Q67" s="99">
        <f>-(C19*Q43+E19+D43*(Q43*N49/365+H19))*(1+B19)</f>
        <v>-60.044402451796323</v>
      </c>
      <c r="R67" s="99"/>
      <c r="S67" s="99">
        <f>-(C19*S43+E19+F43*(S43*N49/365+H19))*(1+B19)</f>
        <v>-51.576417213233398</v>
      </c>
      <c r="T67" s="99"/>
      <c r="U67" s="99">
        <f>-(C19*U43+E19+H43*(U43*N49/365+H19))*(1+B19)</f>
        <v>-57.633948617213761</v>
      </c>
      <c r="V67" s="99"/>
      <c r="W67" s="99">
        <f>-(C19*W43+E19+J43*(W43*N49/365+H19))*(1+B19)</f>
        <v>-51.472726857069013</v>
      </c>
      <c r="X67" s="99"/>
      <c r="Y67" s="99">
        <f>-(C19*Y43+E19+L43*(Y43*N49/365+H19))*(1+B19)</f>
        <v>257.9927356314293</v>
      </c>
      <c r="Z67" s="105"/>
    </row>
    <row r="68" spans="1:26" ht="16.5" x14ac:dyDescent="0.35">
      <c r="A68" s="6" t="s">
        <v>33</v>
      </c>
      <c r="B68" s="2">
        <f t="shared" si="29"/>
        <v>194</v>
      </c>
      <c r="C68" s="4"/>
      <c r="D68" s="111">
        <f t="shared" si="30"/>
        <v>-122</v>
      </c>
      <c r="E68" s="4"/>
      <c r="F68" s="4">
        <f t="shared" si="31"/>
        <v>-12</v>
      </c>
      <c r="G68" s="4"/>
      <c r="H68" s="111">
        <f t="shared" si="32"/>
        <v>-71</v>
      </c>
      <c r="I68" s="4"/>
      <c r="J68" s="4">
        <f t="shared" si="33"/>
        <v>14</v>
      </c>
      <c r="K68" s="4"/>
      <c r="L68" s="111">
        <f t="shared" si="34"/>
        <v>-3</v>
      </c>
      <c r="M68" s="7"/>
      <c r="N68" s="116" t="s">
        <v>33</v>
      </c>
      <c r="O68" s="93">
        <f>-(C20*O44+E20+B44*(O44*N49/365+H20))*(1+B20)</f>
        <v>-66.111040374256916</v>
      </c>
      <c r="P68" s="99"/>
      <c r="Q68" s="99">
        <f>-(C20*Q44+E20+D44*(Q44*N49/365+H20))*(1+B20)</f>
        <v>-77.283745655208051</v>
      </c>
      <c r="R68" s="99"/>
      <c r="S68" s="99">
        <f>-(C20*S44+E20+F44*(S44*N49/365+H20))*(1+B20)</f>
        <v>-66.818462782114239</v>
      </c>
      <c r="T68" s="99"/>
      <c r="U68" s="99">
        <f>-(C20*U44+E20+H44*(U44*N49/365+H20))*(1+B20)</f>
        <v>-74.812949280951145</v>
      </c>
      <c r="V68" s="99"/>
      <c r="W68" s="99">
        <f>-(C20*W44+E20+J44*(W44*N49/365+H20))*(1+B20)</f>
        <v>-67.31413650814163</v>
      </c>
      <c r="X68" s="99"/>
      <c r="Y68" s="99">
        <f>-(C20*Y44+E20+L44*(Y44*N49/365+H20))*(1+B20)</f>
        <v>339.86050934039798</v>
      </c>
      <c r="Z68" s="105"/>
    </row>
    <row r="69" spans="1:26" ht="16.5" x14ac:dyDescent="0.35">
      <c r="A69" s="8" t="s">
        <v>22</v>
      </c>
      <c r="B69" s="2">
        <f t="shared" si="29"/>
        <v>265</v>
      </c>
      <c r="C69" s="4"/>
      <c r="D69" s="4">
        <f t="shared" si="30"/>
        <v>-25</v>
      </c>
      <c r="E69" s="4"/>
      <c r="F69" s="4">
        <f t="shared" si="31"/>
        <v>-35</v>
      </c>
      <c r="G69" s="4"/>
      <c r="H69" s="4">
        <f t="shared" si="32"/>
        <v>-75</v>
      </c>
      <c r="I69" s="4"/>
      <c r="J69" s="4">
        <f t="shared" si="33"/>
        <v>-75</v>
      </c>
      <c r="K69" s="4"/>
      <c r="L69" s="4">
        <f t="shared" si="34"/>
        <v>-55</v>
      </c>
      <c r="M69" s="7"/>
      <c r="N69" s="117" t="s">
        <v>22</v>
      </c>
      <c r="O69" s="93">
        <f>-(C21*O45+E21+B45*(O45*N49/365+H21))*(1+B21)</f>
        <v>-137.72073398552598</v>
      </c>
      <c r="P69" s="99"/>
      <c r="Q69" s="99">
        <f>-(C21*Q45+E21+D45*(Q45*N49/365+H21))*(1+B21)</f>
        <v>-142.61611837684154</v>
      </c>
      <c r="R69" s="99"/>
      <c r="S69" s="99">
        <f>-(C21*S45+E21+F45*(S45*N49/365+H21))*(1+B21)</f>
        <v>-147.07068975187386</v>
      </c>
      <c r="T69" s="99"/>
      <c r="U69" s="99">
        <f>-(C21*U45+E21+H45*(U45*N49/365+H21))*(1+B21)</f>
        <v>-145.13718892737143</v>
      </c>
      <c r="V69" s="99"/>
      <c r="W69" s="99">
        <f>-(C21*W45+E21+J45*(W45*N49/365+H21))*(1+B21)</f>
        <v>-139.12086645386404</v>
      </c>
      <c r="X69" s="99"/>
      <c r="Y69" s="99"/>
      <c r="Z69" s="105"/>
    </row>
    <row r="70" spans="1:26" ht="16.5" x14ac:dyDescent="0.35">
      <c r="A70" s="8" t="s">
        <v>23</v>
      </c>
      <c r="B70" s="2">
        <f t="shared" si="29"/>
        <v>32</v>
      </c>
      <c r="C70" s="4"/>
      <c r="D70" s="4">
        <f t="shared" si="30"/>
        <v>-24</v>
      </c>
      <c r="E70" s="4"/>
      <c r="F70" s="4">
        <f t="shared" si="31"/>
        <v>-11</v>
      </c>
      <c r="G70" s="4"/>
      <c r="H70" s="4">
        <f t="shared" si="32"/>
        <v>-2</v>
      </c>
      <c r="I70" s="4"/>
      <c r="J70" s="4">
        <f t="shared" si="33"/>
        <v>11</v>
      </c>
      <c r="K70" s="4"/>
      <c r="L70" s="4">
        <f t="shared" si="34"/>
        <v>-6</v>
      </c>
      <c r="M70" s="7"/>
      <c r="N70" s="117" t="s">
        <v>23</v>
      </c>
      <c r="O70" s="93">
        <f>-(C22*O46+E22+B46*(O46*N49/365+H22))*(1+B22)</f>
        <v>-67.624364120444554</v>
      </c>
      <c r="P70" s="99"/>
      <c r="Q70" s="99">
        <f>-(C22*Q46+E22+D46*(Q46*N49/365+H22))*(1+B22)</f>
        <v>-70.675771025587991</v>
      </c>
      <c r="R70" s="99"/>
      <c r="S70" s="99">
        <f>-(C22*S46+E22+F46*(S46*N49/365+H22))*(1+B22)</f>
        <v>-72.996127336779509</v>
      </c>
      <c r="T70" s="99"/>
      <c r="U70" s="99">
        <f>-(C22*U46+E22+H46*(U46*N49/365+H22))*(1+B22)</f>
        <v>-71.982870852416639</v>
      </c>
      <c r="V70" s="99"/>
      <c r="W70" s="99">
        <f>-(C22*W46+E22+J46*(W46*N49/365+H22))*(1+B22)</f>
        <v>-68.739952166451275</v>
      </c>
      <c r="X70" s="99"/>
      <c r="Y70" s="99"/>
      <c r="Z70" s="105"/>
    </row>
    <row r="71" spans="1:26" ht="17.25" thickBot="1" x14ac:dyDescent="0.4">
      <c r="A71" s="10" t="s">
        <v>24</v>
      </c>
      <c r="B71" s="11">
        <f t="shared" si="29"/>
        <v>1340</v>
      </c>
      <c r="C71" s="13"/>
      <c r="D71" s="13">
        <f t="shared" si="30"/>
        <v>-275</v>
      </c>
      <c r="E71" s="13"/>
      <c r="F71" s="13">
        <f t="shared" si="31"/>
        <v>-250</v>
      </c>
      <c r="G71" s="13"/>
      <c r="H71" s="13">
        <f t="shared" si="32"/>
        <v>-170</v>
      </c>
      <c r="I71" s="13"/>
      <c r="J71" s="13"/>
      <c r="K71" s="13"/>
      <c r="L71" s="13"/>
      <c r="M71" s="14"/>
      <c r="N71" s="118" t="s">
        <v>24</v>
      </c>
      <c r="O71" s="108">
        <f>-(C23*O47+E23+B47*(O47*N49/365+H23))*(1+B23)</f>
        <v>-248.18218761695528</v>
      </c>
      <c r="P71" s="109"/>
      <c r="Q71" s="109">
        <f>-(C23*Q47+E23+D47*(Q47*N49/365+H23))*(1+B23)</f>
        <v>-252.35926651589557</v>
      </c>
      <c r="R71" s="109"/>
      <c r="S71" s="109">
        <f>-(C23*S47+E23+F47*(S47*N49/365+H23))*(1+B23)</f>
        <v>-262.1021127681571</v>
      </c>
      <c r="T71" s="109"/>
      <c r="U71" s="109">
        <f>-(C23*U47+E23+H47*(U47*N49/365+H23))*(1+B23)</f>
        <v>-259.62417286120444</v>
      </c>
      <c r="V71" s="109"/>
      <c r="W71" s="109"/>
      <c r="X71" s="109"/>
      <c r="Y71" s="109"/>
      <c r="Z71" s="110"/>
    </row>
    <row r="72" spans="1:26" ht="16.5" x14ac:dyDescent="0.35">
      <c r="A72" s="67" t="s">
        <v>64</v>
      </c>
      <c r="B72" s="67"/>
      <c r="C72" s="67"/>
      <c r="D72" s="67"/>
      <c r="E72" s="67"/>
      <c r="F72" s="67"/>
      <c r="G72" s="67"/>
      <c r="H72" s="67"/>
      <c r="N72" s="66" t="s">
        <v>63</v>
      </c>
      <c r="O72" s="66"/>
    </row>
    <row r="73" spans="1:26" ht="14.25" thickBot="1" x14ac:dyDescent="0.2"/>
    <row r="74" spans="1:26" ht="17.25" thickBot="1" x14ac:dyDescent="0.4">
      <c r="A74" s="123" t="s">
        <v>66</v>
      </c>
      <c r="B74" s="127">
        <f>N49</f>
        <v>0.03</v>
      </c>
      <c r="C74" s="124" t="s">
        <v>67</v>
      </c>
      <c r="D74" s="125"/>
      <c r="E74" s="126"/>
      <c r="F74" s="20" t="s">
        <v>47</v>
      </c>
      <c r="G74" s="95" t="s">
        <v>41</v>
      </c>
      <c r="H74" s="96" t="s">
        <v>42</v>
      </c>
      <c r="I74" s="96" t="s">
        <v>43</v>
      </c>
      <c r="J74" s="97" t="s">
        <v>44</v>
      </c>
    </row>
    <row r="75" spans="1:26" ht="16.5" x14ac:dyDescent="0.35">
      <c r="A75" s="121">
        <v>-6.2596184905660373</v>
      </c>
      <c r="B75" s="100">
        <f>AVERAGEIF(O50:Z50,"&lt;=0")</f>
        <v>-7.6558829920815814</v>
      </c>
      <c r="C75" s="4">
        <f>B75*0.7</f>
        <v>-5.3591180944571066</v>
      </c>
      <c r="D75" s="4"/>
      <c r="E75" s="7"/>
      <c r="F75" s="114" t="s">
        <v>18</v>
      </c>
      <c r="G75" s="9">
        <f t="shared" ref="G75:J90" si="35">C50</f>
        <v>-9.3000000000000682</v>
      </c>
      <c r="H75" s="64">
        <f t="shared" si="35"/>
        <v>1.8000000000000682</v>
      </c>
      <c r="I75" s="64">
        <f t="shared" si="35"/>
        <v>-0.60000000000002274</v>
      </c>
      <c r="J75" s="82">
        <f t="shared" si="35"/>
        <v>1.5</v>
      </c>
    </row>
    <row r="76" spans="1:26" ht="16.5" x14ac:dyDescent="0.35">
      <c r="A76" s="121">
        <v>-47.557806518010281</v>
      </c>
      <c r="B76" s="100">
        <f t="shared" ref="B76:B96" si="36">AVERAGEIF(O51:Z51,"&lt;=0")</f>
        <v>-202.39958260767401</v>
      </c>
      <c r="C76" s="4">
        <f>B76*0.7</f>
        <v>-141.67970782537179</v>
      </c>
      <c r="D76" s="4"/>
      <c r="E76" s="7"/>
      <c r="F76" s="114" t="s">
        <v>27</v>
      </c>
      <c r="G76" s="2">
        <f t="shared" si="35"/>
        <v>670</v>
      </c>
      <c r="H76" s="4">
        <f t="shared" si="35"/>
        <v>-170</v>
      </c>
      <c r="I76" s="4">
        <f t="shared" si="35"/>
        <v>20</v>
      </c>
      <c r="J76" s="7">
        <f t="shared" si="35"/>
        <v>100</v>
      </c>
    </row>
    <row r="77" spans="1:26" ht="16.5" x14ac:dyDescent="0.35">
      <c r="A77" s="121">
        <v>-54.088150677530002</v>
      </c>
      <c r="B77" s="100">
        <f t="shared" si="36"/>
        <v>-253.29174616673319</v>
      </c>
      <c r="C77" s="4">
        <f t="shared" ref="C77:C96" si="37">B77*0.7</f>
        <v>-177.30422231671324</v>
      </c>
      <c r="D77" s="4"/>
      <c r="E77" s="7"/>
      <c r="F77" s="115" t="s">
        <v>13</v>
      </c>
      <c r="G77" s="2">
        <f t="shared" si="35"/>
        <v>-140</v>
      </c>
      <c r="H77" s="4">
        <f t="shared" si="35"/>
        <v>-40</v>
      </c>
      <c r="I77" s="4">
        <f t="shared" si="35"/>
        <v>50</v>
      </c>
      <c r="J77" s="7">
        <f t="shared" si="35"/>
        <v>110</v>
      </c>
    </row>
    <row r="78" spans="1:26" ht="16.5" x14ac:dyDescent="0.35">
      <c r="A78" s="121">
        <v>-26.726872418524867</v>
      </c>
      <c r="B78" s="100">
        <f t="shared" si="36"/>
        <v>-80.948899845391082</v>
      </c>
      <c r="C78" s="4">
        <f t="shared" si="37"/>
        <v>-56.664229891773751</v>
      </c>
      <c r="D78" s="4"/>
      <c r="E78" s="7"/>
      <c r="F78" s="115" t="s">
        <v>14</v>
      </c>
      <c r="G78" s="2">
        <f t="shared" si="35"/>
        <v>-35</v>
      </c>
      <c r="H78" s="4">
        <f t="shared" si="35"/>
        <v>-20</v>
      </c>
      <c r="I78" s="4">
        <f t="shared" si="35"/>
        <v>10</v>
      </c>
      <c r="J78" s="7">
        <f t="shared" si="35"/>
        <v>50</v>
      </c>
    </row>
    <row r="79" spans="1:26" ht="16.5" x14ac:dyDescent="0.35">
      <c r="A79" s="121">
        <v>-26.794490222984553</v>
      </c>
      <c r="B79" s="100">
        <f t="shared" si="36"/>
        <v>-92.602637611316055</v>
      </c>
      <c r="C79" s="4">
        <f t="shared" si="37"/>
        <v>-64.821846327921236</v>
      </c>
      <c r="D79" s="4"/>
      <c r="E79" s="7"/>
      <c r="F79" s="115" t="s">
        <v>15</v>
      </c>
      <c r="G79" s="2">
        <f t="shared" si="35"/>
        <v>-30</v>
      </c>
      <c r="H79" s="4">
        <f t="shared" si="35"/>
        <v>-5</v>
      </c>
      <c r="I79" s="4">
        <f t="shared" si="35"/>
        <v>35</v>
      </c>
      <c r="J79" s="7">
        <f t="shared" si="35"/>
        <v>70</v>
      </c>
    </row>
    <row r="80" spans="1:26" ht="16.5" x14ac:dyDescent="0.35">
      <c r="A80" s="121">
        <v>-34.393071914236707</v>
      </c>
      <c r="B80" s="100">
        <f t="shared" si="36"/>
        <v>-78.258771424328572</v>
      </c>
      <c r="C80" s="4">
        <f t="shared" si="37"/>
        <v>-54.781139997029996</v>
      </c>
      <c r="D80" s="4"/>
      <c r="E80" s="7"/>
      <c r="F80" s="115" t="s">
        <v>25</v>
      </c>
      <c r="G80" s="2">
        <f t="shared" si="35"/>
        <v>-65</v>
      </c>
      <c r="H80" s="4">
        <f t="shared" si="35"/>
        <v>-25</v>
      </c>
      <c r="I80" s="4">
        <f t="shared" si="35"/>
        <v>-15</v>
      </c>
      <c r="J80" s="7">
        <f t="shared" si="35"/>
        <v>-15</v>
      </c>
    </row>
    <row r="81" spans="1:10" ht="16.5" x14ac:dyDescent="0.35">
      <c r="A81" s="121">
        <v>-167.83006545454543</v>
      </c>
      <c r="B81" s="100">
        <f>AVERAGEIF(O56:Z56,"&lt;=0")</f>
        <v>-757.55235180572822</v>
      </c>
      <c r="C81" s="4">
        <f t="shared" si="37"/>
        <v>-530.28664626400973</v>
      </c>
      <c r="D81" s="4"/>
      <c r="E81" s="7"/>
      <c r="F81" s="115" t="s">
        <v>26</v>
      </c>
      <c r="G81" s="2">
        <f t="shared" si="35"/>
        <v>4770</v>
      </c>
      <c r="H81" s="4">
        <f t="shared" si="35"/>
        <v>3200</v>
      </c>
      <c r="I81" s="4">
        <f t="shared" si="35"/>
        <v>2780</v>
      </c>
      <c r="J81" s="7">
        <f t="shared" si="35"/>
        <v>1780</v>
      </c>
    </row>
    <row r="82" spans="1:10" ht="16.5" x14ac:dyDescent="0.35">
      <c r="A82" s="121">
        <v>-4.1024653876500841</v>
      </c>
      <c r="B82" s="100">
        <f t="shared" si="36"/>
        <v>-18.728931768909042</v>
      </c>
      <c r="C82" s="4">
        <f t="shared" si="37"/>
        <v>-13.110252238236329</v>
      </c>
      <c r="D82" s="4"/>
      <c r="E82" s="7"/>
      <c r="F82" s="115" t="s">
        <v>16</v>
      </c>
      <c r="G82" s="2">
        <f t="shared" si="35"/>
        <v>-7</v>
      </c>
      <c r="H82" s="4">
        <f t="shared" si="35"/>
        <v>-7</v>
      </c>
      <c r="I82" s="4">
        <f t="shared" si="35"/>
        <v>-8</v>
      </c>
      <c r="J82" s="7">
        <f t="shared" si="35"/>
        <v>-8</v>
      </c>
    </row>
    <row r="83" spans="1:10" ht="16.5" x14ac:dyDescent="0.35">
      <c r="A83" s="121">
        <v>-8.2435000205831894</v>
      </c>
      <c r="B83" s="100">
        <f t="shared" si="36"/>
        <v>-20.468335331187291</v>
      </c>
      <c r="C83" s="4">
        <f t="shared" si="37"/>
        <v>-14.327834731831102</v>
      </c>
      <c r="D83" s="4"/>
      <c r="E83" s="7"/>
      <c r="F83" s="115" t="s">
        <v>30</v>
      </c>
      <c r="G83" s="2">
        <f t="shared" si="35"/>
        <v>-50</v>
      </c>
      <c r="H83" s="4">
        <f t="shared" si="35"/>
        <v>-19</v>
      </c>
      <c r="I83" s="4">
        <f t="shared" si="35"/>
        <v>-18</v>
      </c>
      <c r="J83" s="7">
        <f t="shared" si="35"/>
        <v>23</v>
      </c>
    </row>
    <row r="84" spans="1:10" ht="16.5" x14ac:dyDescent="0.35">
      <c r="A84" s="121">
        <v>-35.861283046312174</v>
      </c>
      <c r="B84" s="100">
        <f t="shared" si="36"/>
        <v>-48.07197333452384</v>
      </c>
      <c r="C84" s="4">
        <f t="shared" si="37"/>
        <v>-33.650381334166688</v>
      </c>
      <c r="D84" s="4"/>
      <c r="E84" s="7"/>
      <c r="F84" s="115" t="s">
        <v>31</v>
      </c>
      <c r="G84" s="2">
        <f t="shared" si="35"/>
        <v>-5</v>
      </c>
      <c r="H84" s="4">
        <f t="shared" si="35"/>
        <v>10</v>
      </c>
      <c r="I84" s="4">
        <f t="shared" si="35"/>
        <v>21</v>
      </c>
      <c r="J84" s="7">
        <f t="shared" si="35"/>
        <v>9</v>
      </c>
    </row>
    <row r="85" spans="1:10" ht="16.5" x14ac:dyDescent="0.35">
      <c r="A85" s="121">
        <v>-43.110519382504286</v>
      </c>
      <c r="B85" s="100">
        <f t="shared" si="36"/>
        <v>-107.81053866115276</v>
      </c>
      <c r="C85" s="4">
        <f t="shared" si="37"/>
        <v>-75.467377062806932</v>
      </c>
      <c r="D85" s="4"/>
      <c r="E85" s="7"/>
      <c r="F85" s="115" t="s">
        <v>32</v>
      </c>
      <c r="G85" s="2">
        <f t="shared" si="35"/>
        <v>40</v>
      </c>
      <c r="H85" s="4">
        <f t="shared" si="35"/>
        <v>-29</v>
      </c>
      <c r="I85" s="4">
        <f t="shared" si="35"/>
        <v>-13</v>
      </c>
      <c r="J85" s="7">
        <f t="shared" si="35"/>
        <v>-15</v>
      </c>
    </row>
    <row r="86" spans="1:10" ht="16.5" x14ac:dyDescent="0.35">
      <c r="A86" s="121">
        <v>-0.35833483773584901</v>
      </c>
      <c r="B86" s="100">
        <f t="shared" si="36"/>
        <v>-2.4438094974411992</v>
      </c>
      <c r="C86" s="4">
        <f t="shared" si="37"/>
        <v>-1.7106666482088393</v>
      </c>
      <c r="D86" s="4"/>
      <c r="E86" s="7"/>
      <c r="F86" s="115" t="s">
        <v>29</v>
      </c>
      <c r="G86" s="2">
        <f t="shared" si="35"/>
        <v>-1.1800000000000068</v>
      </c>
      <c r="H86" s="4">
        <f t="shared" si="35"/>
        <v>0</v>
      </c>
      <c r="I86" s="4">
        <f t="shared" si="35"/>
        <v>-0.71999999999997044</v>
      </c>
      <c r="J86" s="7">
        <f t="shared" si="35"/>
        <v>0</v>
      </c>
    </row>
    <row r="87" spans="1:10" ht="16.5" x14ac:dyDescent="0.35">
      <c r="A87" s="121">
        <v>-49.667783207547167</v>
      </c>
      <c r="B87" s="100">
        <f t="shared" si="36"/>
        <v>-84.458965357650555</v>
      </c>
      <c r="C87" s="4">
        <f t="shared" si="37"/>
        <v>-59.121275750355387</v>
      </c>
      <c r="D87" s="4"/>
      <c r="E87" s="7"/>
      <c r="F87" s="115" t="s">
        <v>17</v>
      </c>
      <c r="G87" s="2">
        <f t="shared" si="35"/>
        <v>0</v>
      </c>
      <c r="H87" s="4">
        <f t="shared" si="35"/>
        <v>-95</v>
      </c>
      <c r="I87" s="4">
        <f t="shared" si="35"/>
        <v>-70</v>
      </c>
      <c r="J87" s="7">
        <f t="shared" si="35"/>
        <v>30</v>
      </c>
    </row>
    <row r="88" spans="1:10" ht="16.5" x14ac:dyDescent="0.35">
      <c r="A88" s="121">
        <v>-52.225682933104622</v>
      </c>
      <c r="B88" s="100">
        <f t="shared" si="36"/>
        <v>-136.65625337865077</v>
      </c>
      <c r="C88" s="4">
        <f t="shared" si="37"/>
        <v>-95.659377365055533</v>
      </c>
      <c r="D88" s="4"/>
      <c r="E88" s="7"/>
      <c r="F88" s="116" t="s">
        <v>10</v>
      </c>
      <c r="G88" s="2">
        <f t="shared" si="35"/>
        <v>-7</v>
      </c>
      <c r="H88" s="111">
        <f t="shared" si="35"/>
        <v>-49</v>
      </c>
      <c r="I88" s="4">
        <f t="shared" si="35"/>
        <v>-32</v>
      </c>
      <c r="J88" s="7">
        <f t="shared" si="35"/>
        <v>-26</v>
      </c>
    </row>
    <row r="89" spans="1:10" ht="16.5" x14ac:dyDescent="0.35">
      <c r="A89" s="121">
        <v>-35.173401825042873</v>
      </c>
      <c r="B89" s="100">
        <f t="shared" si="36"/>
        <v>-100.47002520211942</v>
      </c>
      <c r="C89" s="4">
        <f t="shared" si="37"/>
        <v>-70.329017641483588</v>
      </c>
      <c r="D89" s="4"/>
      <c r="E89" s="7"/>
      <c r="F89" s="116" t="s">
        <v>21</v>
      </c>
      <c r="G89" s="2">
        <f t="shared" si="35"/>
        <v>320</v>
      </c>
      <c r="H89" s="111">
        <f t="shared" si="35"/>
        <v>-289</v>
      </c>
      <c r="I89" s="4">
        <f t="shared" si="35"/>
        <v>176</v>
      </c>
      <c r="J89" s="7">
        <f t="shared" si="35"/>
        <v>88</v>
      </c>
    </row>
    <row r="90" spans="1:10" ht="16.5" x14ac:dyDescent="0.35">
      <c r="A90" s="121">
        <v>-34.617837313207545</v>
      </c>
      <c r="B90" s="100">
        <f t="shared" si="36"/>
        <v>-54.937297373274745</v>
      </c>
      <c r="C90" s="4">
        <f t="shared" si="37"/>
        <v>-38.45610816129232</v>
      </c>
      <c r="D90" s="4"/>
      <c r="E90" s="7"/>
      <c r="F90" s="116" t="s">
        <v>19</v>
      </c>
      <c r="G90" s="2"/>
      <c r="H90" s="4">
        <f t="shared" si="35"/>
        <v>405</v>
      </c>
      <c r="I90" s="4"/>
      <c r="J90" s="7">
        <f t="shared" si="35"/>
        <v>26</v>
      </c>
    </row>
    <row r="91" spans="1:10" ht="16.5" x14ac:dyDescent="0.35">
      <c r="A91" s="121">
        <v>-35.881670513207538</v>
      </c>
      <c r="B91" s="100">
        <f t="shared" si="36"/>
        <v>-64.58081107190489</v>
      </c>
      <c r="C91" s="4">
        <f t="shared" si="37"/>
        <v>-45.20656775033342</v>
      </c>
      <c r="D91" s="4"/>
      <c r="E91" s="7"/>
      <c r="F91" s="116" t="s">
        <v>20</v>
      </c>
      <c r="G91" s="2"/>
      <c r="H91" s="4">
        <f t="shared" ref="H91:H96" si="38">D66</f>
        <v>-24</v>
      </c>
      <c r="I91" s="4"/>
      <c r="J91" s="7">
        <f t="shared" ref="J91:J96" si="39">F66</f>
        <v>51</v>
      </c>
    </row>
    <row r="92" spans="1:10" ht="16.5" x14ac:dyDescent="0.35">
      <c r="A92" s="121">
        <v>-40.130622135849059</v>
      </c>
      <c r="B92" s="100">
        <f t="shared" si="36"/>
        <v>-54.217976594779017</v>
      </c>
      <c r="C92" s="4">
        <f t="shared" si="37"/>
        <v>-37.952583616345308</v>
      </c>
      <c r="D92" s="4"/>
      <c r="E92" s="7"/>
      <c r="F92" s="116" t="s">
        <v>28</v>
      </c>
      <c r="G92" s="2"/>
      <c r="H92" s="4">
        <f t="shared" si="38"/>
        <v>-32</v>
      </c>
      <c r="I92" s="4"/>
      <c r="J92" s="7">
        <f t="shared" si="39"/>
        <v>3</v>
      </c>
    </row>
    <row r="93" spans="1:10" ht="16.5" x14ac:dyDescent="0.35">
      <c r="A93" s="121">
        <v>-54.976360022641508</v>
      </c>
      <c r="B93" s="100">
        <f t="shared" si="36"/>
        <v>-70.468066920134405</v>
      </c>
      <c r="C93" s="4">
        <f t="shared" si="37"/>
        <v>-49.327646844094083</v>
      </c>
      <c r="D93" s="4"/>
      <c r="E93" s="7"/>
      <c r="F93" s="116" t="s">
        <v>33</v>
      </c>
      <c r="G93" s="2"/>
      <c r="H93" s="111">
        <f t="shared" si="38"/>
        <v>-122</v>
      </c>
      <c r="I93" s="4"/>
      <c r="J93" s="7">
        <f t="shared" si="39"/>
        <v>-12</v>
      </c>
    </row>
    <row r="94" spans="1:10" ht="16.5" x14ac:dyDescent="0.35">
      <c r="A94" s="121">
        <v>-61.050884575471706</v>
      </c>
      <c r="B94" s="100">
        <f t="shared" si="36"/>
        <v>-142.33311949909535</v>
      </c>
      <c r="C94" s="4">
        <f t="shared" si="37"/>
        <v>-99.633183649366742</v>
      </c>
      <c r="D94" s="4"/>
      <c r="E94" s="7"/>
      <c r="F94" s="117" t="s">
        <v>22</v>
      </c>
      <c r="G94" s="2"/>
      <c r="H94" s="4">
        <f t="shared" si="38"/>
        <v>-25</v>
      </c>
      <c r="I94" s="4"/>
      <c r="J94" s="7">
        <f t="shared" si="39"/>
        <v>-35</v>
      </c>
    </row>
    <row r="95" spans="1:10" ht="16.5" x14ac:dyDescent="0.35">
      <c r="A95" s="121">
        <v>-36.978780943396224</v>
      </c>
      <c r="B95" s="100">
        <f t="shared" si="36"/>
        <v>-70.403817100335985</v>
      </c>
      <c r="C95" s="4">
        <f t="shared" si="37"/>
        <v>-49.282671970235185</v>
      </c>
      <c r="D95" s="4"/>
      <c r="E95" s="7"/>
      <c r="F95" s="117" t="s">
        <v>23</v>
      </c>
      <c r="G95" s="2"/>
      <c r="H95" s="4">
        <f t="shared" si="38"/>
        <v>-24</v>
      </c>
      <c r="I95" s="4"/>
      <c r="J95" s="7">
        <f t="shared" si="39"/>
        <v>-11</v>
      </c>
    </row>
    <row r="96" spans="1:10" ht="17.25" thickBot="1" x14ac:dyDescent="0.4">
      <c r="A96" s="122">
        <v>-197.14149778301885</v>
      </c>
      <c r="B96" s="101">
        <f t="shared" si="36"/>
        <v>-255.5669349405531</v>
      </c>
      <c r="C96" s="13">
        <f t="shared" si="37"/>
        <v>-178.89685445838717</v>
      </c>
      <c r="D96" s="13"/>
      <c r="E96" s="14"/>
      <c r="F96" s="118" t="s">
        <v>24</v>
      </c>
      <c r="G96" s="11"/>
      <c r="H96" s="13">
        <f t="shared" si="38"/>
        <v>-275</v>
      </c>
      <c r="I96" s="13"/>
      <c r="J96" s="14">
        <f t="shared" si="39"/>
        <v>-250</v>
      </c>
    </row>
  </sheetData>
  <phoneticPr fontId="2" type="noConversion"/>
  <conditionalFormatting sqref="O28:Z28">
    <cfRule type="top10" dxfId="524" priority="687" rank="2"/>
    <cfRule type="top10" dxfId="523" priority="688" bottom="1" rank="2"/>
  </conditionalFormatting>
  <conditionalFormatting sqref="AD12:AN12">
    <cfRule type="top10" dxfId="522" priority="643" rank="2"/>
    <cfRule type="top10" dxfId="521" priority="644" bottom="1" rank="2"/>
  </conditionalFormatting>
  <conditionalFormatting sqref="O29:Z29">
    <cfRule type="top10" dxfId="520" priority="641" rank="2"/>
    <cfRule type="top10" dxfId="519" priority="642" bottom="1" rank="2"/>
  </conditionalFormatting>
  <conditionalFormatting sqref="O30:Z30">
    <cfRule type="top10" dxfId="518" priority="639" rank="2"/>
    <cfRule type="top10" dxfId="517" priority="640" bottom="1" rank="2"/>
  </conditionalFormatting>
  <conditionalFormatting sqref="O31:Z31">
    <cfRule type="top10" dxfId="516" priority="637" rank="2"/>
    <cfRule type="top10" dxfId="515" priority="638" bottom="1" rank="2"/>
  </conditionalFormatting>
  <conditionalFormatting sqref="O32:Z32">
    <cfRule type="top10" dxfId="514" priority="635" rank="2"/>
    <cfRule type="top10" dxfId="513" priority="636" bottom="1" rank="2"/>
  </conditionalFormatting>
  <conditionalFormatting sqref="O37:V37 X37:Z37">
    <cfRule type="top10" dxfId="512" priority="633" rank="2"/>
    <cfRule type="top10" dxfId="511" priority="634" bottom="1" rank="2"/>
  </conditionalFormatting>
  <conditionalFormatting sqref="O33:Z33">
    <cfRule type="top10" dxfId="510" priority="631" rank="2"/>
    <cfRule type="top10" dxfId="509" priority="632" bottom="1" rank="2"/>
  </conditionalFormatting>
  <conditionalFormatting sqref="O34:Z34">
    <cfRule type="top10" dxfId="508" priority="629" rank="2"/>
    <cfRule type="top10" dxfId="507" priority="630" bottom="1" rank="2"/>
  </conditionalFormatting>
  <conditionalFormatting sqref="O35:Z35">
    <cfRule type="top10" dxfId="506" priority="627" rank="2"/>
    <cfRule type="top10" dxfId="505" priority="628" bottom="1" rank="2"/>
  </conditionalFormatting>
  <conditionalFormatting sqref="O36:Y36">
    <cfRule type="top10" dxfId="504" priority="625" rank="2"/>
    <cfRule type="top10" dxfId="503" priority="626" bottom="1" rank="2"/>
  </conditionalFormatting>
  <conditionalFormatting sqref="O38:Z38">
    <cfRule type="top10" dxfId="502" priority="623" rank="2"/>
    <cfRule type="top10" dxfId="501" priority="624" bottom="1" rank="2"/>
  </conditionalFormatting>
  <conditionalFormatting sqref="O26:Z26">
    <cfRule type="top10" dxfId="500" priority="621" rank="2"/>
    <cfRule type="top10" dxfId="499" priority="622" bottom="1" rank="2"/>
  </conditionalFormatting>
  <conditionalFormatting sqref="O27:Z27">
    <cfRule type="top10" dxfId="498" priority="619" rank="2"/>
    <cfRule type="top10" dxfId="497" priority="620" bottom="1" rank="2"/>
  </conditionalFormatting>
  <conditionalFormatting sqref="O41:Z41">
    <cfRule type="top10" dxfId="496" priority="617" rank="2"/>
    <cfRule type="top10" dxfId="495" priority="618" bottom="1" rank="2"/>
  </conditionalFormatting>
  <conditionalFormatting sqref="O42:Z42">
    <cfRule type="top10" dxfId="494" priority="615" rank="2"/>
    <cfRule type="top10" dxfId="493" priority="616" bottom="1" rank="2"/>
  </conditionalFormatting>
  <conditionalFormatting sqref="O43:Z43">
    <cfRule type="top10" dxfId="492" priority="613" rank="2"/>
    <cfRule type="top10" dxfId="491" priority="614" bottom="1" rank="2"/>
  </conditionalFormatting>
  <conditionalFormatting sqref="O44:Z44">
    <cfRule type="top10" dxfId="490" priority="611" rank="2"/>
    <cfRule type="top10" dxfId="489" priority="612" bottom="1" rank="2"/>
  </conditionalFormatting>
  <conditionalFormatting sqref="O39:Z39">
    <cfRule type="top10" dxfId="488" priority="609" rank="2"/>
    <cfRule type="top10" dxfId="487" priority="610" bottom="1" rank="2"/>
  </conditionalFormatting>
  <conditionalFormatting sqref="O40:Z40">
    <cfRule type="top10" dxfId="486" priority="607" rank="2"/>
    <cfRule type="top10" dxfId="485" priority="608" bottom="1" rank="2"/>
  </conditionalFormatting>
  <conditionalFormatting sqref="O45:Z45">
    <cfRule type="top10" dxfId="484" priority="605" rank="2"/>
    <cfRule type="top10" dxfId="483" priority="606" bottom="1" rank="2"/>
  </conditionalFormatting>
  <conditionalFormatting sqref="O46:Z46">
    <cfRule type="top10" dxfId="482" priority="603" rank="2"/>
    <cfRule type="top10" dxfId="481" priority="604" bottom="1" rank="2"/>
  </conditionalFormatting>
  <conditionalFormatting sqref="O47:Z47">
    <cfRule type="top10" dxfId="480" priority="601" rank="2"/>
    <cfRule type="top10" dxfId="479" priority="602" bottom="1" rank="2"/>
  </conditionalFormatting>
  <conditionalFormatting sqref="B50">
    <cfRule type="expression" dxfId="478" priority="594">
      <formula>B50&lt;O50</formula>
    </cfRule>
  </conditionalFormatting>
  <conditionalFormatting sqref="C50">
    <cfRule type="expression" dxfId="477" priority="581">
      <formula>C50&lt;P50</formula>
    </cfRule>
  </conditionalFormatting>
  <conditionalFormatting sqref="D50">
    <cfRule type="expression" dxfId="476" priority="580">
      <formula>D50&lt;Q50</formula>
    </cfRule>
  </conditionalFormatting>
  <conditionalFormatting sqref="E50">
    <cfRule type="expression" dxfId="475" priority="579">
      <formula>E50&lt;R50</formula>
    </cfRule>
  </conditionalFormatting>
  <conditionalFormatting sqref="F50">
    <cfRule type="expression" dxfId="474" priority="578">
      <formula>F50&lt;S50</formula>
    </cfRule>
  </conditionalFormatting>
  <conditionalFormatting sqref="G50">
    <cfRule type="expression" dxfId="473" priority="577">
      <formula>G50&lt;T50</formula>
    </cfRule>
  </conditionalFormatting>
  <conditionalFormatting sqref="H50">
    <cfRule type="expression" dxfId="472" priority="576">
      <formula>H50&lt;U50</formula>
    </cfRule>
  </conditionalFormatting>
  <conditionalFormatting sqref="I50">
    <cfRule type="expression" dxfId="471" priority="575">
      <formula>I50&lt;V50</formula>
    </cfRule>
  </conditionalFormatting>
  <conditionalFormatting sqref="J50">
    <cfRule type="expression" dxfId="470" priority="574">
      <formula>J50&lt;W50</formula>
    </cfRule>
  </conditionalFormatting>
  <conditionalFormatting sqref="K50">
    <cfRule type="expression" dxfId="469" priority="573">
      <formula>K50&lt;X50</formula>
    </cfRule>
  </conditionalFormatting>
  <conditionalFormatting sqref="L50">
    <cfRule type="expression" dxfId="468" priority="572">
      <formula>L50&lt;Y50</formula>
    </cfRule>
  </conditionalFormatting>
  <conditionalFormatting sqref="M50">
    <cfRule type="expression" dxfId="467" priority="571">
      <formula>M50&lt;Z50</formula>
    </cfRule>
  </conditionalFormatting>
  <conditionalFormatting sqref="B51">
    <cfRule type="expression" dxfId="466" priority="570">
      <formula>B51&lt;O51</formula>
    </cfRule>
  </conditionalFormatting>
  <conditionalFormatting sqref="C51">
    <cfRule type="expression" dxfId="465" priority="569">
      <formula>C51&lt;P51</formula>
    </cfRule>
  </conditionalFormatting>
  <conditionalFormatting sqref="D51">
    <cfRule type="expression" dxfId="464" priority="568">
      <formula>D51&lt;Q51</formula>
    </cfRule>
  </conditionalFormatting>
  <conditionalFormatting sqref="E51">
    <cfRule type="expression" dxfId="463" priority="567">
      <formula>E51&lt;R51</formula>
    </cfRule>
  </conditionalFormatting>
  <conditionalFormatting sqref="F51">
    <cfRule type="expression" dxfId="462" priority="566">
      <formula>F51&lt;S51</formula>
    </cfRule>
  </conditionalFormatting>
  <conditionalFormatting sqref="G51">
    <cfRule type="expression" dxfId="461" priority="565">
      <formula>G51&lt;T51</formula>
    </cfRule>
  </conditionalFormatting>
  <conditionalFormatting sqref="H51">
    <cfRule type="expression" dxfId="460" priority="564">
      <formula>H51&lt;U51</formula>
    </cfRule>
  </conditionalFormatting>
  <conditionalFormatting sqref="I51">
    <cfRule type="expression" dxfId="459" priority="563">
      <formula>I51&lt;V51</formula>
    </cfRule>
  </conditionalFormatting>
  <conditionalFormatting sqref="J51">
    <cfRule type="expression" dxfId="458" priority="562">
      <formula>J51&lt;W51</formula>
    </cfRule>
  </conditionalFormatting>
  <conditionalFormatting sqref="K51">
    <cfRule type="expression" dxfId="457" priority="561">
      <formula>K51&lt;X51</formula>
    </cfRule>
  </conditionalFormatting>
  <conditionalFormatting sqref="L51">
    <cfRule type="expression" dxfId="456" priority="560">
      <formula>L51&lt;Y51</formula>
    </cfRule>
  </conditionalFormatting>
  <conditionalFormatting sqref="M51">
    <cfRule type="expression" dxfId="455" priority="559">
      <formula>M51&lt;Z51</formula>
    </cfRule>
  </conditionalFormatting>
  <conditionalFormatting sqref="M52">
    <cfRule type="expression" dxfId="454" priority="558">
      <formula>M52&lt;Z52</formula>
    </cfRule>
  </conditionalFormatting>
  <conditionalFormatting sqref="L52">
    <cfRule type="expression" dxfId="453" priority="557">
      <formula>L52&lt;Y52</formula>
    </cfRule>
  </conditionalFormatting>
  <conditionalFormatting sqref="K52">
    <cfRule type="expression" dxfId="452" priority="556">
      <formula>K52&lt;X52</formula>
    </cfRule>
  </conditionalFormatting>
  <conditionalFormatting sqref="J52">
    <cfRule type="expression" dxfId="451" priority="555">
      <formula>J52&lt;W52</formula>
    </cfRule>
  </conditionalFormatting>
  <conditionalFormatting sqref="I52">
    <cfRule type="expression" dxfId="450" priority="554">
      <formula>I52&lt;V52</formula>
    </cfRule>
  </conditionalFormatting>
  <conditionalFormatting sqref="H52">
    <cfRule type="expression" dxfId="449" priority="553">
      <formula>H52&lt;U52</formula>
    </cfRule>
  </conditionalFormatting>
  <conditionalFormatting sqref="G52">
    <cfRule type="expression" dxfId="448" priority="552">
      <formula>G52&lt;T52</formula>
    </cfRule>
  </conditionalFormatting>
  <conditionalFormatting sqref="F52">
    <cfRule type="expression" dxfId="447" priority="551">
      <formula>F52&lt;S52</formula>
    </cfRule>
  </conditionalFormatting>
  <conditionalFormatting sqref="E52">
    <cfRule type="expression" dxfId="446" priority="550">
      <formula>E52&lt;R52</formula>
    </cfRule>
  </conditionalFormatting>
  <conditionalFormatting sqref="D52">
    <cfRule type="expression" dxfId="445" priority="549">
      <formula>D52&lt;Q52</formula>
    </cfRule>
  </conditionalFormatting>
  <conditionalFormatting sqref="C52">
    <cfRule type="expression" dxfId="444" priority="548">
      <formula>C52&lt;P52</formula>
    </cfRule>
  </conditionalFormatting>
  <conditionalFormatting sqref="B52">
    <cfRule type="expression" dxfId="443" priority="547">
      <formula>B52&lt;O52</formula>
    </cfRule>
  </conditionalFormatting>
  <conditionalFormatting sqref="B53">
    <cfRule type="expression" dxfId="442" priority="546">
      <formula>B53&lt;O53</formula>
    </cfRule>
  </conditionalFormatting>
  <conditionalFormatting sqref="C53">
    <cfRule type="expression" dxfId="441" priority="545">
      <formula>C53&lt;P53</formula>
    </cfRule>
  </conditionalFormatting>
  <conditionalFormatting sqref="D53">
    <cfRule type="expression" dxfId="440" priority="544">
      <formula>D53&lt;Q53</formula>
    </cfRule>
  </conditionalFormatting>
  <conditionalFormatting sqref="E53">
    <cfRule type="expression" dxfId="439" priority="543">
      <formula>E53&lt;R53</formula>
    </cfRule>
  </conditionalFormatting>
  <conditionalFormatting sqref="F53">
    <cfRule type="expression" dxfId="438" priority="542">
      <formula>F53&lt;S53</formula>
    </cfRule>
  </conditionalFormatting>
  <conditionalFormatting sqref="G53">
    <cfRule type="expression" dxfId="437" priority="541">
      <formula>G53&lt;T53</formula>
    </cfRule>
  </conditionalFormatting>
  <conditionalFormatting sqref="H53">
    <cfRule type="expression" dxfId="436" priority="540">
      <formula>H53&lt;U53</formula>
    </cfRule>
  </conditionalFormatting>
  <conditionalFormatting sqref="I53">
    <cfRule type="expression" dxfId="435" priority="539">
      <formula>I53&lt;V53</formula>
    </cfRule>
  </conditionalFormatting>
  <conditionalFormatting sqref="J53">
    <cfRule type="expression" dxfId="434" priority="538">
      <formula>J53&lt;W53</formula>
    </cfRule>
  </conditionalFormatting>
  <conditionalFormatting sqref="K53">
    <cfRule type="expression" dxfId="433" priority="537">
      <formula>K53&lt;X53</formula>
    </cfRule>
  </conditionalFormatting>
  <conditionalFormatting sqref="L53">
    <cfRule type="expression" dxfId="432" priority="536">
      <formula>L53&lt;Y53</formula>
    </cfRule>
  </conditionalFormatting>
  <conditionalFormatting sqref="M53">
    <cfRule type="expression" dxfId="431" priority="535">
      <formula>M53&lt;Z53</formula>
    </cfRule>
  </conditionalFormatting>
  <conditionalFormatting sqref="M54">
    <cfRule type="expression" dxfId="430" priority="534">
      <formula>M54&lt;Z54</formula>
    </cfRule>
  </conditionalFormatting>
  <conditionalFormatting sqref="L54">
    <cfRule type="expression" dxfId="429" priority="533">
      <formula>L54&lt;Y54</formula>
    </cfRule>
  </conditionalFormatting>
  <conditionalFormatting sqref="K54">
    <cfRule type="expression" dxfId="428" priority="532">
      <formula>K54&lt;X54</formula>
    </cfRule>
  </conditionalFormatting>
  <conditionalFormatting sqref="J54">
    <cfRule type="expression" dxfId="427" priority="531">
      <formula>J54&lt;W54</formula>
    </cfRule>
  </conditionalFormatting>
  <conditionalFormatting sqref="I54">
    <cfRule type="expression" dxfId="426" priority="530">
      <formula>I54&lt;V54</formula>
    </cfRule>
  </conditionalFormatting>
  <conditionalFormatting sqref="H54">
    <cfRule type="expression" dxfId="425" priority="529">
      <formula>H54&lt;U54</formula>
    </cfRule>
  </conditionalFormatting>
  <conditionalFormatting sqref="G54">
    <cfRule type="expression" dxfId="424" priority="528">
      <formula>G54&lt;T54</formula>
    </cfRule>
  </conditionalFormatting>
  <conditionalFormatting sqref="F54">
    <cfRule type="expression" dxfId="423" priority="527">
      <formula>F54&lt;S54</formula>
    </cfRule>
  </conditionalFormatting>
  <conditionalFormatting sqref="E54">
    <cfRule type="expression" dxfId="422" priority="526">
      <formula>E54&lt;R54</formula>
    </cfRule>
  </conditionalFormatting>
  <conditionalFormatting sqref="D54">
    <cfRule type="expression" dxfId="421" priority="525">
      <formula>D54&lt;Q54</formula>
    </cfRule>
  </conditionalFormatting>
  <conditionalFormatting sqref="C54">
    <cfRule type="expression" dxfId="420" priority="524">
      <formula>C54&lt;P54</formula>
    </cfRule>
  </conditionalFormatting>
  <conditionalFormatting sqref="B54">
    <cfRule type="expression" dxfId="419" priority="523">
      <formula>B54&lt;O54</formula>
    </cfRule>
  </conditionalFormatting>
  <conditionalFormatting sqref="B55">
    <cfRule type="expression" dxfId="418" priority="522">
      <formula>B55&lt;O55</formula>
    </cfRule>
  </conditionalFormatting>
  <conditionalFormatting sqref="C55">
    <cfRule type="expression" dxfId="417" priority="521">
      <formula>C55&lt;P55</formula>
    </cfRule>
  </conditionalFormatting>
  <conditionalFormatting sqref="D55">
    <cfRule type="expression" dxfId="416" priority="520">
      <formula>D55&lt;Q55</formula>
    </cfRule>
  </conditionalFormatting>
  <conditionalFormatting sqref="E55">
    <cfRule type="expression" dxfId="415" priority="519">
      <formula>E55&lt;R55</formula>
    </cfRule>
  </conditionalFormatting>
  <conditionalFormatting sqref="F55">
    <cfRule type="expression" dxfId="414" priority="518">
      <formula>F55&lt;S55</formula>
    </cfRule>
  </conditionalFormatting>
  <conditionalFormatting sqref="G55">
    <cfRule type="expression" dxfId="413" priority="517">
      <formula>G55&lt;T55</formula>
    </cfRule>
  </conditionalFormatting>
  <conditionalFormatting sqref="H55">
    <cfRule type="expression" dxfId="412" priority="516">
      <formula>H55&lt;U55</formula>
    </cfRule>
  </conditionalFormatting>
  <conditionalFormatting sqref="I55">
    <cfRule type="expression" dxfId="411" priority="515">
      <formula>I55&lt;V55</formula>
    </cfRule>
  </conditionalFormatting>
  <conditionalFormatting sqref="J55">
    <cfRule type="expression" dxfId="410" priority="514">
      <formula>J55&lt;W55</formula>
    </cfRule>
  </conditionalFormatting>
  <conditionalFormatting sqref="K55">
    <cfRule type="expression" dxfId="409" priority="513">
      <formula>K55&lt;X55</formula>
    </cfRule>
  </conditionalFormatting>
  <conditionalFormatting sqref="L55">
    <cfRule type="expression" dxfId="408" priority="512">
      <formula>L55&lt;Y55</formula>
    </cfRule>
  </conditionalFormatting>
  <conditionalFormatting sqref="M55">
    <cfRule type="expression" dxfId="407" priority="511">
      <formula>M55&lt;Z55</formula>
    </cfRule>
  </conditionalFormatting>
  <conditionalFormatting sqref="M56">
    <cfRule type="expression" dxfId="406" priority="510">
      <formula>M56&lt;Z56</formula>
    </cfRule>
  </conditionalFormatting>
  <conditionalFormatting sqref="L56">
    <cfRule type="expression" dxfId="405" priority="509">
      <formula>L56&lt;Y56</formula>
    </cfRule>
  </conditionalFormatting>
  <conditionalFormatting sqref="K56">
    <cfRule type="expression" dxfId="404" priority="508">
      <formula>K56&lt;X56</formula>
    </cfRule>
  </conditionalFormatting>
  <conditionalFormatting sqref="J56">
    <cfRule type="expression" dxfId="403" priority="507">
      <formula>J56&lt;W56</formula>
    </cfRule>
  </conditionalFormatting>
  <conditionalFormatting sqref="I56">
    <cfRule type="expression" dxfId="402" priority="506">
      <formula>I56&lt;V56</formula>
    </cfRule>
  </conditionalFormatting>
  <conditionalFormatting sqref="H56">
    <cfRule type="expression" dxfId="401" priority="505">
      <formula>H56&lt;U56</formula>
    </cfRule>
  </conditionalFormatting>
  <conditionalFormatting sqref="G56">
    <cfRule type="expression" dxfId="400" priority="504">
      <formula>G56&lt;T56</formula>
    </cfRule>
  </conditionalFormatting>
  <conditionalFormatting sqref="F56">
    <cfRule type="expression" dxfId="399" priority="503">
      <formula>F56&lt;S56</formula>
    </cfRule>
  </conditionalFormatting>
  <conditionalFormatting sqref="E56">
    <cfRule type="expression" dxfId="398" priority="502">
      <formula>E56&lt;R56</formula>
    </cfRule>
  </conditionalFormatting>
  <conditionalFormatting sqref="D56">
    <cfRule type="expression" dxfId="397" priority="501">
      <formula>D56&lt;Q56</formula>
    </cfRule>
  </conditionalFormatting>
  <conditionalFormatting sqref="C56">
    <cfRule type="expression" dxfId="396" priority="500">
      <formula>C56&lt;P56</formula>
    </cfRule>
  </conditionalFormatting>
  <conditionalFormatting sqref="B56">
    <cfRule type="expression" dxfId="395" priority="499">
      <formula>B56&lt;O56</formula>
    </cfRule>
  </conditionalFormatting>
  <conditionalFormatting sqref="B57">
    <cfRule type="expression" dxfId="394" priority="498">
      <formula>B57&lt;O57</formula>
    </cfRule>
  </conditionalFormatting>
  <conditionalFormatting sqref="C57">
    <cfRule type="expression" dxfId="393" priority="497">
      <formula>C57&lt;P57</formula>
    </cfRule>
  </conditionalFormatting>
  <conditionalFormatting sqref="D57">
    <cfRule type="expression" dxfId="392" priority="496">
      <formula>D57&lt;Q57</formula>
    </cfRule>
  </conditionalFormatting>
  <conditionalFormatting sqref="E57">
    <cfRule type="expression" dxfId="391" priority="495">
      <formula>E57&lt;R57</formula>
    </cfRule>
  </conditionalFormatting>
  <conditionalFormatting sqref="F57">
    <cfRule type="expression" dxfId="390" priority="494">
      <formula>F57&lt;S57</formula>
    </cfRule>
  </conditionalFormatting>
  <conditionalFormatting sqref="G57">
    <cfRule type="expression" dxfId="389" priority="493">
      <formula>G57&lt;T57</formula>
    </cfRule>
  </conditionalFormatting>
  <conditionalFormatting sqref="H57">
    <cfRule type="expression" dxfId="388" priority="492">
      <formula>H57&lt;U57</formula>
    </cfRule>
  </conditionalFormatting>
  <conditionalFormatting sqref="I57">
    <cfRule type="expression" dxfId="387" priority="491">
      <formula>I57&lt;V57</formula>
    </cfRule>
  </conditionalFormatting>
  <conditionalFormatting sqref="J57">
    <cfRule type="expression" dxfId="386" priority="490">
      <formula>J57&lt;W57</formula>
    </cfRule>
  </conditionalFormatting>
  <conditionalFormatting sqref="K57">
    <cfRule type="expression" dxfId="385" priority="489">
      <formula>K57&lt;X57</formula>
    </cfRule>
  </conditionalFormatting>
  <conditionalFormatting sqref="L57">
    <cfRule type="expression" dxfId="384" priority="488">
      <formula>L57&lt;Y57</formula>
    </cfRule>
  </conditionalFormatting>
  <conditionalFormatting sqref="M57">
    <cfRule type="expression" dxfId="383" priority="487">
      <formula>M57&lt;Z57</formula>
    </cfRule>
  </conditionalFormatting>
  <conditionalFormatting sqref="B58">
    <cfRule type="expression" dxfId="382" priority="486">
      <formula>B58&lt;O58</formula>
    </cfRule>
  </conditionalFormatting>
  <conditionalFormatting sqref="C58">
    <cfRule type="expression" dxfId="381" priority="485">
      <formula>C58&lt;P58</formula>
    </cfRule>
  </conditionalFormatting>
  <conditionalFormatting sqref="D58">
    <cfRule type="expression" dxfId="380" priority="484">
      <formula>D58&lt;Q58</formula>
    </cfRule>
  </conditionalFormatting>
  <conditionalFormatting sqref="E58">
    <cfRule type="expression" dxfId="379" priority="483">
      <formula>E58&lt;R58</formula>
    </cfRule>
  </conditionalFormatting>
  <conditionalFormatting sqref="F58">
    <cfRule type="expression" dxfId="378" priority="482">
      <formula>F58&lt;S58</formula>
    </cfRule>
  </conditionalFormatting>
  <conditionalFormatting sqref="G58">
    <cfRule type="expression" dxfId="377" priority="481">
      <formula>G58&lt;T58</formula>
    </cfRule>
  </conditionalFormatting>
  <conditionalFormatting sqref="H58">
    <cfRule type="expression" dxfId="376" priority="480">
      <formula>H58&lt;U58</formula>
    </cfRule>
  </conditionalFormatting>
  <conditionalFormatting sqref="I58">
    <cfRule type="expression" dxfId="375" priority="479">
      <formula>I58&lt;V58</formula>
    </cfRule>
  </conditionalFormatting>
  <conditionalFormatting sqref="J58">
    <cfRule type="expression" dxfId="374" priority="478">
      <formula>J58&lt;W58</formula>
    </cfRule>
  </conditionalFormatting>
  <conditionalFormatting sqref="K58">
    <cfRule type="expression" dxfId="373" priority="477">
      <formula>K58&lt;X58</formula>
    </cfRule>
  </conditionalFormatting>
  <conditionalFormatting sqref="L58">
    <cfRule type="expression" dxfId="372" priority="476">
      <formula>L58&lt;Y58</formula>
    </cfRule>
  </conditionalFormatting>
  <conditionalFormatting sqref="M58">
    <cfRule type="expression" dxfId="371" priority="475">
      <formula>M58&lt;Z58</formula>
    </cfRule>
  </conditionalFormatting>
  <conditionalFormatting sqref="M59">
    <cfRule type="expression" dxfId="370" priority="474">
      <formula>M59&lt;Z59</formula>
    </cfRule>
  </conditionalFormatting>
  <conditionalFormatting sqref="L59">
    <cfRule type="expression" dxfId="369" priority="473">
      <formula>L59&lt;Y59</formula>
    </cfRule>
  </conditionalFormatting>
  <conditionalFormatting sqref="K59">
    <cfRule type="expression" dxfId="368" priority="472">
      <formula>K59&lt;X59</formula>
    </cfRule>
  </conditionalFormatting>
  <conditionalFormatting sqref="J59">
    <cfRule type="expression" dxfId="367" priority="471">
      <formula>J59&lt;W59</formula>
    </cfRule>
  </conditionalFormatting>
  <conditionalFormatting sqref="I59">
    <cfRule type="expression" dxfId="366" priority="470">
      <formula>I59&lt;V59</formula>
    </cfRule>
  </conditionalFormatting>
  <conditionalFormatting sqref="H59">
    <cfRule type="expression" dxfId="365" priority="469">
      <formula>H59&lt;U59</formula>
    </cfRule>
  </conditionalFormatting>
  <conditionalFormatting sqref="G59">
    <cfRule type="expression" dxfId="364" priority="468">
      <formula>G59&lt;T59</formula>
    </cfRule>
  </conditionalFormatting>
  <conditionalFormatting sqref="F59">
    <cfRule type="expression" dxfId="363" priority="467">
      <formula>F59&lt;S59</formula>
    </cfRule>
  </conditionalFormatting>
  <conditionalFormatting sqref="E59">
    <cfRule type="expression" dxfId="362" priority="466">
      <formula>E59&lt;R59</formula>
    </cfRule>
  </conditionalFormatting>
  <conditionalFormatting sqref="D59">
    <cfRule type="expression" dxfId="361" priority="465">
      <formula>D59&lt;Q59</formula>
    </cfRule>
  </conditionalFormatting>
  <conditionalFormatting sqref="C59">
    <cfRule type="expression" dxfId="360" priority="464">
      <formula>C59&lt;P59</formula>
    </cfRule>
  </conditionalFormatting>
  <conditionalFormatting sqref="B59">
    <cfRule type="expression" dxfId="359" priority="463">
      <formula>B59&lt;O59</formula>
    </cfRule>
  </conditionalFormatting>
  <conditionalFormatting sqref="B60">
    <cfRule type="expression" dxfId="358" priority="462">
      <formula>B60&lt;O60</formula>
    </cfRule>
  </conditionalFormatting>
  <conditionalFormatting sqref="C60">
    <cfRule type="expression" dxfId="357" priority="461">
      <formula>C60&lt;P60</formula>
    </cfRule>
  </conditionalFormatting>
  <conditionalFormatting sqref="D60">
    <cfRule type="expression" dxfId="356" priority="460">
      <formula>D60&lt;Q60</formula>
    </cfRule>
  </conditionalFormatting>
  <conditionalFormatting sqref="E60">
    <cfRule type="expression" dxfId="355" priority="459">
      <formula>E60&lt;R60</formula>
    </cfRule>
  </conditionalFormatting>
  <conditionalFormatting sqref="F60">
    <cfRule type="expression" dxfId="354" priority="458">
      <formula>F60&lt;S60</formula>
    </cfRule>
  </conditionalFormatting>
  <conditionalFormatting sqref="G60">
    <cfRule type="expression" dxfId="353" priority="457">
      <formula>G60&lt;T60</formula>
    </cfRule>
  </conditionalFormatting>
  <conditionalFormatting sqref="H60">
    <cfRule type="expression" dxfId="352" priority="456">
      <formula>H60&lt;U60</formula>
    </cfRule>
  </conditionalFormatting>
  <conditionalFormatting sqref="I60">
    <cfRule type="expression" dxfId="351" priority="455">
      <formula>I60&lt;V60</formula>
    </cfRule>
  </conditionalFormatting>
  <conditionalFormatting sqref="J60">
    <cfRule type="expression" dxfId="350" priority="454">
      <formula>J60&lt;W60</formula>
    </cfRule>
  </conditionalFormatting>
  <conditionalFormatting sqref="K60">
    <cfRule type="expression" dxfId="349" priority="453">
      <formula>K60&lt;X60</formula>
    </cfRule>
  </conditionalFormatting>
  <conditionalFormatting sqref="L60">
    <cfRule type="expression" dxfId="348" priority="452">
      <formula>L60&lt;Y60</formula>
    </cfRule>
  </conditionalFormatting>
  <conditionalFormatting sqref="M60">
    <cfRule type="expression" dxfId="347" priority="451">
      <formula>M60&lt;Z60</formula>
    </cfRule>
  </conditionalFormatting>
  <conditionalFormatting sqref="M61">
    <cfRule type="expression" dxfId="346" priority="450">
      <formula>M61&lt;Z61</formula>
    </cfRule>
  </conditionalFormatting>
  <conditionalFormatting sqref="L61">
    <cfRule type="expression" dxfId="345" priority="449">
      <formula>L61&lt;Y61</formula>
    </cfRule>
  </conditionalFormatting>
  <conditionalFormatting sqref="K61">
    <cfRule type="expression" dxfId="344" priority="448">
      <formula>K61&lt;X61</formula>
    </cfRule>
  </conditionalFormatting>
  <conditionalFormatting sqref="J61">
    <cfRule type="expression" dxfId="343" priority="447">
      <formula>J61&lt;W61</formula>
    </cfRule>
  </conditionalFormatting>
  <conditionalFormatting sqref="I61">
    <cfRule type="expression" dxfId="342" priority="446">
      <formula>I61&lt;V61</formula>
    </cfRule>
  </conditionalFormatting>
  <conditionalFormatting sqref="G61">
    <cfRule type="expression" dxfId="341" priority="445">
      <formula>G61&lt;T61</formula>
    </cfRule>
  </conditionalFormatting>
  <conditionalFormatting sqref="E61">
    <cfRule type="expression" dxfId="340" priority="444">
      <formula>E61&lt;R61</formula>
    </cfRule>
  </conditionalFormatting>
  <conditionalFormatting sqref="C61">
    <cfRule type="expression" dxfId="339" priority="443">
      <formula>C61&lt;P61</formula>
    </cfRule>
  </conditionalFormatting>
  <conditionalFormatting sqref="D62">
    <cfRule type="expression" dxfId="338" priority="442">
      <formula>D62&lt;Q62</formula>
    </cfRule>
  </conditionalFormatting>
  <conditionalFormatting sqref="E62">
    <cfRule type="expression" dxfId="337" priority="441">
      <formula>E62&lt;R62</formula>
    </cfRule>
  </conditionalFormatting>
  <conditionalFormatting sqref="F62">
    <cfRule type="expression" dxfId="336" priority="440">
      <formula>F62&lt;S62</formula>
    </cfRule>
  </conditionalFormatting>
  <conditionalFormatting sqref="G62">
    <cfRule type="expression" dxfId="335" priority="439">
      <formula>G62&lt;T62</formula>
    </cfRule>
  </conditionalFormatting>
  <conditionalFormatting sqref="H62">
    <cfRule type="expression" dxfId="334" priority="438">
      <formula>H62&lt;U62</formula>
    </cfRule>
  </conditionalFormatting>
  <conditionalFormatting sqref="I62">
    <cfRule type="expression" dxfId="333" priority="437">
      <formula>I62&lt;V62</formula>
    </cfRule>
  </conditionalFormatting>
  <conditionalFormatting sqref="J62">
    <cfRule type="expression" dxfId="332" priority="436">
      <formula>J62&lt;W62</formula>
    </cfRule>
  </conditionalFormatting>
  <conditionalFormatting sqref="K62">
    <cfRule type="expression" dxfId="331" priority="435">
      <formula>K62&lt;X62</formula>
    </cfRule>
  </conditionalFormatting>
  <conditionalFormatting sqref="K63">
    <cfRule type="expression" dxfId="330" priority="434">
      <formula>K63&lt;X63</formula>
    </cfRule>
  </conditionalFormatting>
  <conditionalFormatting sqref="L63">
    <cfRule type="expression" dxfId="329" priority="433">
      <formula>L63&lt;Y63</formula>
    </cfRule>
  </conditionalFormatting>
  <conditionalFormatting sqref="M63">
    <cfRule type="expression" dxfId="328" priority="432">
      <formula>M63&lt;Z63</formula>
    </cfRule>
  </conditionalFormatting>
  <conditionalFormatting sqref="J63">
    <cfRule type="expression" dxfId="327" priority="431">
      <formula>J63&lt;W63</formula>
    </cfRule>
  </conditionalFormatting>
  <conditionalFormatting sqref="I63">
    <cfRule type="expression" dxfId="326" priority="430">
      <formula>I63&lt;V63</formula>
    </cfRule>
  </conditionalFormatting>
  <conditionalFormatting sqref="H63">
    <cfRule type="expression" dxfId="325" priority="429">
      <formula>H63&lt;U63</formula>
    </cfRule>
  </conditionalFormatting>
  <conditionalFormatting sqref="G63">
    <cfRule type="expression" dxfId="324" priority="428">
      <formula>G63&lt;T63</formula>
    </cfRule>
  </conditionalFormatting>
  <conditionalFormatting sqref="F63">
    <cfRule type="expression" dxfId="323" priority="427">
      <formula>F63&lt;S63</formula>
    </cfRule>
  </conditionalFormatting>
  <conditionalFormatting sqref="E63">
    <cfRule type="expression" dxfId="322" priority="426">
      <formula>E63&lt;R63</formula>
    </cfRule>
  </conditionalFormatting>
  <conditionalFormatting sqref="D63">
    <cfRule type="expression" dxfId="321" priority="425">
      <formula>D63&lt;Q63</formula>
    </cfRule>
  </conditionalFormatting>
  <conditionalFormatting sqref="C63">
    <cfRule type="expression" dxfId="320" priority="424">
      <formula>C63&lt;P63</formula>
    </cfRule>
  </conditionalFormatting>
  <conditionalFormatting sqref="B63">
    <cfRule type="expression" dxfId="319" priority="423">
      <formula>B63&lt;O63</formula>
    </cfRule>
  </conditionalFormatting>
  <conditionalFormatting sqref="B64">
    <cfRule type="expression" dxfId="318" priority="422">
      <formula>B64&lt;O64</formula>
    </cfRule>
  </conditionalFormatting>
  <conditionalFormatting sqref="C64">
    <cfRule type="expression" dxfId="317" priority="421">
      <formula>C64&lt;P64</formula>
    </cfRule>
  </conditionalFormatting>
  <conditionalFormatting sqref="D64">
    <cfRule type="expression" dxfId="316" priority="420">
      <formula>D64&lt;Q64</formula>
    </cfRule>
  </conditionalFormatting>
  <conditionalFormatting sqref="E64">
    <cfRule type="expression" dxfId="315" priority="419">
      <formula>E64&lt;R64</formula>
    </cfRule>
  </conditionalFormatting>
  <conditionalFormatting sqref="F64">
    <cfRule type="expression" dxfId="314" priority="418">
      <formula>F64&lt;S64</formula>
    </cfRule>
  </conditionalFormatting>
  <conditionalFormatting sqref="G64">
    <cfRule type="expression" dxfId="313" priority="417">
      <formula>G64&lt;T64</formula>
    </cfRule>
  </conditionalFormatting>
  <conditionalFormatting sqref="H64">
    <cfRule type="expression" dxfId="312" priority="416">
      <formula>H64&lt;U64</formula>
    </cfRule>
  </conditionalFormatting>
  <conditionalFormatting sqref="I64">
    <cfRule type="expression" dxfId="311" priority="415">
      <formula>I64&lt;V64</formula>
    </cfRule>
  </conditionalFormatting>
  <conditionalFormatting sqref="J64">
    <cfRule type="expression" dxfId="310" priority="414">
      <formula>J64&lt;W64</formula>
    </cfRule>
  </conditionalFormatting>
  <conditionalFormatting sqref="K64">
    <cfRule type="expression" dxfId="309" priority="413">
      <formula>K64&lt;X64</formula>
    </cfRule>
  </conditionalFormatting>
  <conditionalFormatting sqref="L64">
    <cfRule type="expression" dxfId="308" priority="412">
      <formula>L64&lt;Y64</formula>
    </cfRule>
  </conditionalFormatting>
  <conditionalFormatting sqref="M64">
    <cfRule type="expression" dxfId="307" priority="411">
      <formula>M64&lt;Z64</formula>
    </cfRule>
  </conditionalFormatting>
  <conditionalFormatting sqref="L70">
    <cfRule type="expression" dxfId="306" priority="410">
      <formula>L70&lt;Y70</formula>
    </cfRule>
  </conditionalFormatting>
  <conditionalFormatting sqref="L69">
    <cfRule type="expression" dxfId="305" priority="409">
      <formula>L69&lt;Y69</formula>
    </cfRule>
  </conditionalFormatting>
  <conditionalFormatting sqref="L68">
    <cfRule type="expression" dxfId="304" priority="408">
      <formula>L68&lt;Y68</formula>
    </cfRule>
  </conditionalFormatting>
  <conditionalFormatting sqref="L67">
    <cfRule type="expression" dxfId="303" priority="407">
      <formula>L67&lt;Y67</formula>
    </cfRule>
  </conditionalFormatting>
  <conditionalFormatting sqref="L66">
    <cfRule type="expression" dxfId="302" priority="406">
      <formula>L66&lt;Y66</formula>
    </cfRule>
  </conditionalFormatting>
  <conditionalFormatting sqref="L65">
    <cfRule type="expression" dxfId="301" priority="405">
      <formula>L65&lt;Y65</formula>
    </cfRule>
  </conditionalFormatting>
  <conditionalFormatting sqref="J65">
    <cfRule type="expression" dxfId="300" priority="404">
      <formula>J65&lt;W65</formula>
    </cfRule>
  </conditionalFormatting>
  <conditionalFormatting sqref="J66">
    <cfRule type="expression" dxfId="299" priority="403">
      <formula>J66&lt;W66</formula>
    </cfRule>
  </conditionalFormatting>
  <conditionalFormatting sqref="J67">
    <cfRule type="expression" dxfId="298" priority="402">
      <formula>J67&lt;W67</formula>
    </cfRule>
  </conditionalFormatting>
  <conditionalFormatting sqref="J68">
    <cfRule type="expression" dxfId="297" priority="401">
      <formula>J68&lt;W68</formula>
    </cfRule>
  </conditionalFormatting>
  <conditionalFormatting sqref="J69">
    <cfRule type="expression" dxfId="296" priority="400">
      <formula>J69&lt;W69</formula>
    </cfRule>
  </conditionalFormatting>
  <conditionalFormatting sqref="J70">
    <cfRule type="expression" dxfId="295" priority="399">
      <formula>J70&lt;W70</formula>
    </cfRule>
  </conditionalFormatting>
  <conditionalFormatting sqref="H71">
    <cfRule type="expression" dxfId="294" priority="398">
      <formula>H71&lt;U71</formula>
    </cfRule>
  </conditionalFormatting>
  <conditionalFormatting sqref="H70">
    <cfRule type="expression" dxfId="293" priority="397">
      <formula>H70&lt;U70</formula>
    </cfRule>
  </conditionalFormatting>
  <conditionalFormatting sqref="H69">
    <cfRule type="expression" dxfId="292" priority="396">
      <formula>H69&lt;U69</formula>
    </cfRule>
  </conditionalFormatting>
  <conditionalFormatting sqref="H68">
    <cfRule type="expression" dxfId="291" priority="395">
      <formula>H68&lt;U68</formula>
    </cfRule>
  </conditionalFormatting>
  <conditionalFormatting sqref="H67">
    <cfRule type="expression" dxfId="290" priority="394">
      <formula>H67&lt;U67</formula>
    </cfRule>
  </conditionalFormatting>
  <conditionalFormatting sqref="H66">
    <cfRule type="expression" dxfId="289" priority="393">
      <formula>H66&lt;U66</formula>
    </cfRule>
  </conditionalFormatting>
  <conditionalFormatting sqref="H65">
    <cfRule type="expression" dxfId="288" priority="392">
      <formula>H65&lt;U65</formula>
    </cfRule>
  </conditionalFormatting>
  <conditionalFormatting sqref="F65">
    <cfRule type="expression" dxfId="287" priority="391">
      <formula>F65&lt;S65</formula>
    </cfRule>
  </conditionalFormatting>
  <conditionalFormatting sqref="F66">
    <cfRule type="expression" dxfId="286" priority="390">
      <formula>F66&lt;S66</formula>
    </cfRule>
  </conditionalFormatting>
  <conditionalFormatting sqref="F67">
    <cfRule type="expression" dxfId="285" priority="389">
      <formula>F67&lt;S67</formula>
    </cfRule>
  </conditionalFormatting>
  <conditionalFormatting sqref="F68">
    <cfRule type="expression" dxfId="284" priority="388">
      <formula>F68&lt;S68</formula>
    </cfRule>
  </conditionalFormatting>
  <conditionalFormatting sqref="F69">
    <cfRule type="expression" dxfId="283" priority="387">
      <formula>F69&lt;S69</formula>
    </cfRule>
  </conditionalFormatting>
  <conditionalFormatting sqref="F70">
    <cfRule type="expression" dxfId="282" priority="386">
      <formula>F70&lt;S70</formula>
    </cfRule>
  </conditionalFormatting>
  <conditionalFormatting sqref="F71">
    <cfRule type="expression" dxfId="281" priority="385">
      <formula>F71&lt;S71</formula>
    </cfRule>
  </conditionalFormatting>
  <conditionalFormatting sqref="D71">
    <cfRule type="expression" dxfId="280" priority="384">
      <formula>D71&lt;Q71</formula>
    </cfRule>
  </conditionalFormatting>
  <conditionalFormatting sqref="D70">
    <cfRule type="expression" dxfId="279" priority="383">
      <formula>D70&lt;Q70</formula>
    </cfRule>
  </conditionalFormatting>
  <conditionalFormatting sqref="D69">
    <cfRule type="expression" dxfId="278" priority="382">
      <formula>D69&lt;Q69</formula>
    </cfRule>
  </conditionalFormatting>
  <conditionalFormatting sqref="D68">
    <cfRule type="expression" dxfId="277" priority="381">
      <formula>D68&lt;Q68</formula>
    </cfRule>
  </conditionalFormatting>
  <conditionalFormatting sqref="D67">
    <cfRule type="expression" dxfId="276" priority="380">
      <formula>D67&lt;Q67</formula>
    </cfRule>
  </conditionalFormatting>
  <conditionalFormatting sqref="D66">
    <cfRule type="expression" dxfId="275" priority="379">
      <formula>D66&lt;Q66</formula>
    </cfRule>
  </conditionalFormatting>
  <conditionalFormatting sqref="D65">
    <cfRule type="expression" dxfId="274" priority="378">
      <formula>D65&lt;Q65</formula>
    </cfRule>
  </conditionalFormatting>
  <conditionalFormatting sqref="B65">
    <cfRule type="expression" dxfId="273" priority="377">
      <formula>B65&lt;O65</formula>
    </cfRule>
  </conditionalFormatting>
  <conditionalFormatting sqref="B66">
    <cfRule type="expression" dxfId="272" priority="376">
      <formula>B66&lt;O66</formula>
    </cfRule>
  </conditionalFormatting>
  <conditionalFormatting sqref="B67">
    <cfRule type="expression" dxfId="271" priority="375">
      <formula>B67&lt;O67</formula>
    </cfRule>
  </conditionalFormatting>
  <conditionalFormatting sqref="B68">
    <cfRule type="expression" dxfId="270" priority="374">
      <formula>B68&lt;O68</formula>
    </cfRule>
  </conditionalFormatting>
  <conditionalFormatting sqref="B69">
    <cfRule type="expression" dxfId="269" priority="373">
      <formula>B69&lt;O69</formula>
    </cfRule>
  </conditionalFormatting>
  <conditionalFormatting sqref="B70">
    <cfRule type="expression" dxfId="268" priority="372">
      <formula>B70&lt;O70</formula>
    </cfRule>
  </conditionalFormatting>
  <conditionalFormatting sqref="B71">
    <cfRule type="expression" dxfId="267" priority="371">
      <formula>B71&lt;O71</formula>
    </cfRule>
  </conditionalFormatting>
  <conditionalFormatting sqref="O50:Z71">
    <cfRule type="cellIs" dxfId="266" priority="370" operator="greaterThan">
      <formula>0</formula>
    </cfRule>
  </conditionalFormatting>
  <conditionalFormatting sqref="Z36">
    <cfRule type="top10" dxfId="265" priority="368" rank="2"/>
    <cfRule type="top10" dxfId="264" priority="369" bottom="1" rank="2"/>
  </conditionalFormatting>
  <conditionalFormatting sqref="J75">
    <cfRule type="expression" dxfId="175" priority="88">
      <formula>J75&lt;C75</formula>
    </cfRule>
  </conditionalFormatting>
  <conditionalFormatting sqref="G75">
    <cfRule type="expression" dxfId="173" priority="87">
      <formula>G75&lt;C75</formula>
    </cfRule>
  </conditionalFormatting>
  <conditionalFormatting sqref="H75">
    <cfRule type="expression" dxfId="171" priority="86">
      <formula>H75&lt;B75</formula>
    </cfRule>
  </conditionalFormatting>
  <conditionalFormatting sqref="I75">
    <cfRule type="expression" dxfId="169" priority="85">
      <formula>I75&lt;B75</formula>
    </cfRule>
  </conditionalFormatting>
  <conditionalFormatting sqref="J76">
    <cfRule type="expression" dxfId="167" priority="84">
      <formula>J76&lt;C76</formula>
    </cfRule>
  </conditionalFormatting>
  <conditionalFormatting sqref="G76">
    <cfRule type="expression" dxfId="165" priority="83">
      <formula>G76&lt;C76</formula>
    </cfRule>
  </conditionalFormatting>
  <conditionalFormatting sqref="H76">
    <cfRule type="expression" dxfId="163" priority="82">
      <formula>H76&lt;B76</formula>
    </cfRule>
  </conditionalFormatting>
  <conditionalFormatting sqref="I76">
    <cfRule type="expression" dxfId="161" priority="81">
      <formula>I76&lt;B76</formula>
    </cfRule>
  </conditionalFormatting>
  <conditionalFormatting sqref="J77">
    <cfRule type="expression" dxfId="159" priority="80">
      <formula>J77&lt;C77</formula>
    </cfRule>
  </conditionalFormatting>
  <conditionalFormatting sqref="G77">
    <cfRule type="expression" dxfId="157" priority="79">
      <formula>G77&lt;C77</formula>
    </cfRule>
  </conditionalFormatting>
  <conditionalFormatting sqref="H77">
    <cfRule type="expression" dxfId="155" priority="78">
      <formula>H77&lt;B77</formula>
    </cfRule>
  </conditionalFormatting>
  <conditionalFormatting sqref="I77">
    <cfRule type="expression" dxfId="153" priority="77">
      <formula>I77&lt;B77</formula>
    </cfRule>
  </conditionalFormatting>
  <conditionalFormatting sqref="J78">
    <cfRule type="expression" dxfId="151" priority="76">
      <formula>J78&lt;C78</formula>
    </cfRule>
  </conditionalFormatting>
  <conditionalFormatting sqref="G78">
    <cfRule type="expression" dxfId="149" priority="75">
      <formula>G78&lt;C78</formula>
    </cfRule>
  </conditionalFormatting>
  <conditionalFormatting sqref="H78">
    <cfRule type="expression" dxfId="147" priority="74">
      <formula>H78&lt;B78</formula>
    </cfRule>
  </conditionalFormatting>
  <conditionalFormatting sqref="I78">
    <cfRule type="expression" dxfId="145" priority="73">
      <formula>I78&lt;B78</formula>
    </cfRule>
  </conditionalFormatting>
  <conditionalFormatting sqref="J79">
    <cfRule type="expression" dxfId="143" priority="72">
      <formula>J79&lt;C79</formula>
    </cfRule>
  </conditionalFormatting>
  <conditionalFormatting sqref="G79">
    <cfRule type="expression" dxfId="141" priority="71">
      <formula>G79&lt;C79</formula>
    </cfRule>
  </conditionalFormatting>
  <conditionalFormatting sqref="H79">
    <cfRule type="expression" dxfId="139" priority="70">
      <formula>H79&lt;B79</formula>
    </cfRule>
  </conditionalFormatting>
  <conditionalFormatting sqref="I79">
    <cfRule type="expression" dxfId="137" priority="69">
      <formula>I79&lt;B79</formula>
    </cfRule>
  </conditionalFormatting>
  <conditionalFormatting sqref="J80">
    <cfRule type="expression" dxfId="135" priority="68">
      <formula>J80&lt;C80</formula>
    </cfRule>
  </conditionalFormatting>
  <conditionalFormatting sqref="G80">
    <cfRule type="expression" dxfId="133" priority="67">
      <formula>G80&lt;C80</formula>
    </cfRule>
  </conditionalFormatting>
  <conditionalFormatting sqref="H80">
    <cfRule type="expression" dxfId="131" priority="66">
      <formula>H80&lt;B80</formula>
    </cfRule>
  </conditionalFormatting>
  <conditionalFormatting sqref="I80">
    <cfRule type="expression" dxfId="129" priority="65">
      <formula>I80&lt;B80</formula>
    </cfRule>
  </conditionalFormatting>
  <conditionalFormatting sqref="J81">
    <cfRule type="expression" dxfId="127" priority="64">
      <formula>J81&lt;C81</formula>
    </cfRule>
  </conditionalFormatting>
  <conditionalFormatting sqref="G81">
    <cfRule type="expression" dxfId="125" priority="63">
      <formula>G81&lt;C81</formula>
    </cfRule>
  </conditionalFormatting>
  <conditionalFormatting sqref="H81">
    <cfRule type="expression" dxfId="123" priority="62">
      <formula>H81&lt;B81</formula>
    </cfRule>
  </conditionalFormatting>
  <conditionalFormatting sqref="I81">
    <cfRule type="expression" dxfId="121" priority="61">
      <formula>I81&lt;B81</formula>
    </cfRule>
  </conditionalFormatting>
  <conditionalFormatting sqref="J82">
    <cfRule type="expression" dxfId="119" priority="60">
      <formula>J82&lt;C82</formula>
    </cfRule>
  </conditionalFormatting>
  <conditionalFormatting sqref="G82">
    <cfRule type="expression" dxfId="117" priority="59">
      <formula>G82&lt;C82</formula>
    </cfRule>
  </conditionalFormatting>
  <conditionalFormatting sqref="H82">
    <cfRule type="expression" dxfId="115" priority="58">
      <formula>H82&lt;B82</formula>
    </cfRule>
  </conditionalFormatting>
  <conditionalFormatting sqref="I82">
    <cfRule type="expression" dxfId="113" priority="57">
      <formula>I82&lt;B82</formula>
    </cfRule>
  </conditionalFormatting>
  <conditionalFormatting sqref="J83">
    <cfRule type="expression" dxfId="111" priority="56">
      <formula>J83&lt;C83</formula>
    </cfRule>
  </conditionalFormatting>
  <conditionalFormatting sqref="G83">
    <cfRule type="expression" dxfId="109" priority="55">
      <formula>G83&lt;C83</formula>
    </cfRule>
  </conditionalFormatting>
  <conditionalFormatting sqref="H83">
    <cfRule type="expression" dxfId="107" priority="54">
      <formula>H83&lt;B83</formula>
    </cfRule>
  </conditionalFormatting>
  <conditionalFormatting sqref="I83">
    <cfRule type="expression" dxfId="105" priority="53">
      <formula>I83&lt;B83</formula>
    </cfRule>
  </conditionalFormatting>
  <conditionalFormatting sqref="J84">
    <cfRule type="expression" dxfId="103" priority="52">
      <formula>J84&lt;C84</formula>
    </cfRule>
  </conditionalFormatting>
  <conditionalFormatting sqref="G84">
    <cfRule type="expression" dxfId="101" priority="51">
      <formula>G84&lt;C84</formula>
    </cfRule>
  </conditionalFormatting>
  <conditionalFormatting sqref="H84">
    <cfRule type="expression" dxfId="99" priority="50">
      <formula>H84&lt;B84</formula>
    </cfRule>
  </conditionalFormatting>
  <conditionalFormatting sqref="I84">
    <cfRule type="expression" dxfId="97" priority="49">
      <formula>I84&lt;B84</formula>
    </cfRule>
  </conditionalFormatting>
  <conditionalFormatting sqref="J85">
    <cfRule type="expression" dxfId="95" priority="48">
      <formula>J85&lt;C85</formula>
    </cfRule>
  </conditionalFormatting>
  <conditionalFormatting sqref="G85">
    <cfRule type="expression" dxfId="93" priority="47">
      <formula>G85&lt;C85</formula>
    </cfRule>
  </conditionalFormatting>
  <conditionalFormatting sqref="H85">
    <cfRule type="expression" dxfId="91" priority="46">
      <formula>H85&lt;B85</formula>
    </cfRule>
  </conditionalFormatting>
  <conditionalFormatting sqref="I85">
    <cfRule type="expression" dxfId="89" priority="45">
      <formula>I85&lt;B85</formula>
    </cfRule>
  </conditionalFormatting>
  <conditionalFormatting sqref="J86">
    <cfRule type="expression" dxfId="87" priority="44">
      <formula>J86&lt;C86</formula>
    </cfRule>
  </conditionalFormatting>
  <conditionalFormatting sqref="G86">
    <cfRule type="expression" dxfId="85" priority="43">
      <formula>G86&lt;C86</formula>
    </cfRule>
  </conditionalFormatting>
  <conditionalFormatting sqref="H86">
    <cfRule type="expression" dxfId="83" priority="42">
      <formula>H86&lt;B86</formula>
    </cfRule>
  </conditionalFormatting>
  <conditionalFormatting sqref="I86">
    <cfRule type="expression" dxfId="81" priority="41">
      <formula>I86&lt;B86</formula>
    </cfRule>
  </conditionalFormatting>
  <conditionalFormatting sqref="J87">
    <cfRule type="expression" dxfId="79" priority="40">
      <formula>J87&lt;C87</formula>
    </cfRule>
  </conditionalFormatting>
  <conditionalFormatting sqref="G87">
    <cfRule type="expression" dxfId="77" priority="39">
      <formula>G87&lt;C87</formula>
    </cfRule>
  </conditionalFormatting>
  <conditionalFormatting sqref="H87">
    <cfRule type="expression" dxfId="75" priority="38">
      <formula>H87&lt;B87</formula>
    </cfRule>
  </conditionalFormatting>
  <conditionalFormatting sqref="I87">
    <cfRule type="expression" dxfId="73" priority="37">
      <formula>I87&lt;B87</formula>
    </cfRule>
  </conditionalFormatting>
  <conditionalFormatting sqref="J88">
    <cfRule type="expression" dxfId="71" priority="36">
      <formula>J88&lt;C88</formula>
    </cfRule>
  </conditionalFormatting>
  <conditionalFormatting sqref="G88">
    <cfRule type="expression" dxfId="69" priority="35">
      <formula>G88&lt;C88</formula>
    </cfRule>
  </conditionalFormatting>
  <conditionalFormatting sqref="H88">
    <cfRule type="expression" dxfId="67" priority="34">
      <formula>H88&lt;B88</formula>
    </cfRule>
  </conditionalFormatting>
  <conditionalFormatting sqref="I88">
    <cfRule type="expression" dxfId="65" priority="33">
      <formula>I88&lt;B88</formula>
    </cfRule>
  </conditionalFormatting>
  <conditionalFormatting sqref="J89">
    <cfRule type="expression" dxfId="63" priority="32">
      <formula>J89&lt;C89</formula>
    </cfRule>
  </conditionalFormatting>
  <conditionalFormatting sqref="G89">
    <cfRule type="expression" dxfId="61" priority="31">
      <formula>G89&lt;C89</formula>
    </cfRule>
  </conditionalFormatting>
  <conditionalFormatting sqref="H89">
    <cfRule type="expression" dxfId="59" priority="30">
      <formula>H89&lt;B89</formula>
    </cfRule>
  </conditionalFormatting>
  <conditionalFormatting sqref="I89">
    <cfRule type="expression" dxfId="57" priority="29">
      <formula>I89&lt;B89</formula>
    </cfRule>
  </conditionalFormatting>
  <conditionalFormatting sqref="J90">
    <cfRule type="expression" dxfId="55" priority="28">
      <formula>J90&lt;C90</formula>
    </cfRule>
  </conditionalFormatting>
  <conditionalFormatting sqref="G90">
    <cfRule type="expression" dxfId="53" priority="27">
      <formula>G90&lt;C90</formula>
    </cfRule>
  </conditionalFormatting>
  <conditionalFormatting sqref="H90">
    <cfRule type="expression" dxfId="51" priority="26">
      <formula>H90&lt;B90</formula>
    </cfRule>
  </conditionalFormatting>
  <conditionalFormatting sqref="I90">
    <cfRule type="expression" dxfId="49" priority="25">
      <formula>I90&lt;B90</formula>
    </cfRule>
  </conditionalFormatting>
  <conditionalFormatting sqref="J91">
    <cfRule type="expression" dxfId="47" priority="24">
      <formula>J91&lt;C91</formula>
    </cfRule>
  </conditionalFormatting>
  <conditionalFormatting sqref="G91">
    <cfRule type="expression" dxfId="45" priority="23">
      <formula>G91&lt;C91</formula>
    </cfRule>
  </conditionalFormatting>
  <conditionalFormatting sqref="H91">
    <cfRule type="expression" dxfId="43" priority="22">
      <formula>H91&lt;B91</formula>
    </cfRule>
  </conditionalFormatting>
  <conditionalFormatting sqref="I91">
    <cfRule type="expression" dxfId="41" priority="21">
      <formula>I91&lt;B91</formula>
    </cfRule>
  </conditionalFormatting>
  <conditionalFormatting sqref="J92">
    <cfRule type="expression" dxfId="39" priority="20">
      <formula>J92&lt;C92</formula>
    </cfRule>
  </conditionalFormatting>
  <conditionalFormatting sqref="G92">
    <cfRule type="expression" dxfId="37" priority="19">
      <formula>G92&lt;C92</formula>
    </cfRule>
  </conditionalFormatting>
  <conditionalFormatting sqref="H92">
    <cfRule type="expression" dxfId="35" priority="18">
      <formula>H92&lt;B92</formula>
    </cfRule>
  </conditionalFormatting>
  <conditionalFormatting sqref="I92">
    <cfRule type="expression" dxfId="33" priority="17">
      <formula>I92&lt;B92</formula>
    </cfRule>
  </conditionalFormatting>
  <conditionalFormatting sqref="J93">
    <cfRule type="expression" dxfId="31" priority="16">
      <formula>J93&lt;C93</formula>
    </cfRule>
  </conditionalFormatting>
  <conditionalFormatting sqref="G93">
    <cfRule type="expression" dxfId="29" priority="15">
      <formula>G93&lt;C93</formula>
    </cfRule>
  </conditionalFormatting>
  <conditionalFormatting sqref="H93">
    <cfRule type="expression" dxfId="27" priority="14">
      <formula>H93&lt;B93</formula>
    </cfRule>
  </conditionalFormatting>
  <conditionalFormatting sqref="I93">
    <cfRule type="expression" dxfId="25" priority="13">
      <formula>I93&lt;B93</formula>
    </cfRule>
  </conditionalFormatting>
  <conditionalFormatting sqref="J94">
    <cfRule type="expression" dxfId="23" priority="12">
      <formula>J94&lt;C94</formula>
    </cfRule>
  </conditionalFormatting>
  <conditionalFormatting sqref="G94">
    <cfRule type="expression" dxfId="21" priority="11">
      <formula>G94&lt;C94</formula>
    </cfRule>
  </conditionalFormatting>
  <conditionalFormatting sqref="H94">
    <cfRule type="expression" dxfId="19" priority="10">
      <formula>H94&lt;B94</formula>
    </cfRule>
  </conditionalFormatting>
  <conditionalFormatting sqref="I94">
    <cfRule type="expression" dxfId="17" priority="9">
      <formula>I94&lt;B94</formula>
    </cfRule>
  </conditionalFormatting>
  <conditionalFormatting sqref="J95">
    <cfRule type="expression" dxfId="15" priority="8">
      <formula>J95&lt;C95</formula>
    </cfRule>
  </conditionalFormatting>
  <conditionalFormatting sqref="G95">
    <cfRule type="expression" dxfId="13" priority="7">
      <formula>G95&lt;C95</formula>
    </cfRule>
  </conditionalFormatting>
  <conditionalFormatting sqref="H95">
    <cfRule type="expression" dxfId="11" priority="6">
      <formula>H95&lt;B95</formula>
    </cfRule>
  </conditionalFormatting>
  <conditionalFormatting sqref="I95">
    <cfRule type="expression" dxfId="9" priority="5">
      <formula>I95&lt;B95</formula>
    </cfRule>
  </conditionalFormatting>
  <conditionalFormatting sqref="J96">
    <cfRule type="expression" dxfId="7" priority="4">
      <formula>J96&lt;C96</formula>
    </cfRule>
  </conditionalFormatting>
  <conditionalFormatting sqref="G96">
    <cfRule type="expression" dxfId="5" priority="3">
      <formula>G96&lt;C96</formula>
    </cfRule>
  </conditionalFormatting>
  <conditionalFormatting sqref="H96">
    <cfRule type="expression" dxfId="3" priority="2">
      <formula>H96&lt;B96</formula>
    </cfRule>
  </conditionalFormatting>
  <conditionalFormatting sqref="I96">
    <cfRule type="expression" dxfId="1" priority="1">
      <formula>I96&lt;B96</formula>
    </cfRule>
  </conditionalFormatting>
  <dataValidations count="1">
    <dataValidation type="list" allowBlank="1" showInputMessage="1" showErrorMessage="1" sqref="N49">
      <formula1>"0%,3%,5%,8%,10%"</formula1>
    </dataValidation>
  </dataValidation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月差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2023-02-09T01:17:03Z</dcterms:modified>
</cp:coreProperties>
</file>